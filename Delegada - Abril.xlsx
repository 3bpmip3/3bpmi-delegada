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PMESP\Desktop\DEJEM e Delegada - HTML\"/>
    </mc:Choice>
  </mc:AlternateContent>
  <bookViews>
    <workbookView xWindow="0" yWindow="0" windowWidth="21570" windowHeight="8055" firstSheet="1" activeTab="2"/>
  </bookViews>
  <sheets>
    <sheet name="DISTRIBUIÇÃO" sheetId="1" state="hidden" r:id="rId1"/>
    <sheet name="DELEGADA" sheetId="6" r:id="rId2"/>
    <sheet name="DEJEM" sheetId="2" r:id="rId3"/>
    <sheet name="CUSTODIA" sheetId="3" r:id="rId4"/>
    <sheet name="OFICIAIS" sheetId="4" r:id="rId5"/>
    <sheet name="SGTOS" sheetId="5" r:id="rId6"/>
  </sheets>
  <definedNames>
    <definedName name="_xlnm.Print_Area" localSheetId="2">DEJEM!$A$1:$AE$109</definedName>
    <definedName name="_xlnm.Print_Area" localSheetId="1">DELEGADA!$A$1:$J$101</definedName>
    <definedName name="_xlnm.Print_Area" localSheetId="4">OFICIAIS!$A$1:$C$37</definedName>
    <definedName name="_xlnm.Print_Area" localSheetId="5">SGTOS!$A$1:$C$37</definedName>
    <definedName name="Z_6961F61B_568A_47AE_A59A_66C974BCBE87_.wvu.PrintArea" localSheetId="2" hidden="1">DEJEM!$A$1:$AE$109</definedName>
  </definedNames>
  <calcPr calcId="162913"/>
  <customWorkbookViews>
    <customWorkbookView name="POLICIA MILITAR - Modo de exibição pessoal" guid="{6961F61B-568A-47AE-A59A-66C974BCBE87}" mergeInterval="0" personalView="1" maximized="1" xWindow="-8" yWindow="-8" windowWidth="1936" windowHeight="1056" activeSheetId="2"/>
  </customWorkbookViews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6" l="1"/>
  <c r="M108" i="2" l="1"/>
  <c r="M107" i="2"/>
  <c r="M104" i="2"/>
  <c r="D17" i="2"/>
  <c r="F17" i="2"/>
  <c r="D102" i="3" l="1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F65" i="6" l="1"/>
  <c r="G100" i="6" l="1"/>
  <c r="I100" i="6" s="1"/>
  <c r="G99" i="6"/>
  <c r="G98" i="6"/>
  <c r="I98" i="6" s="1"/>
  <c r="G97" i="6"/>
  <c r="I97" i="6" s="1"/>
  <c r="G96" i="6"/>
  <c r="G95" i="6"/>
  <c r="G94" i="6"/>
  <c r="G93" i="6"/>
  <c r="I93" i="6" s="1"/>
  <c r="G92" i="6"/>
  <c r="G91" i="6"/>
  <c r="I91" i="6" s="1"/>
  <c r="G90" i="6"/>
  <c r="I90" i="6" s="1"/>
  <c r="G89" i="6"/>
  <c r="I89" i="6" s="1"/>
  <c r="G88" i="6"/>
  <c r="I88" i="6" s="1"/>
  <c r="G87" i="6"/>
  <c r="G86" i="6"/>
  <c r="I86" i="6" s="1"/>
  <c r="G85" i="6"/>
  <c r="I85" i="6" s="1"/>
  <c r="G84" i="6"/>
  <c r="G83" i="6"/>
  <c r="I83" i="6" s="1"/>
  <c r="G82" i="6"/>
  <c r="I82" i="6" s="1"/>
  <c r="G81" i="6"/>
  <c r="G80" i="6"/>
  <c r="G79" i="6"/>
  <c r="I79" i="6" s="1"/>
  <c r="G78" i="6"/>
  <c r="G77" i="6"/>
  <c r="I77" i="6" s="1"/>
  <c r="G76" i="6"/>
  <c r="G75" i="6"/>
  <c r="G74" i="6"/>
  <c r="G73" i="6"/>
  <c r="I73" i="6" s="1"/>
  <c r="G72" i="6"/>
  <c r="I72" i="6" s="1"/>
  <c r="G71" i="6"/>
  <c r="G70" i="6"/>
  <c r="G69" i="6"/>
  <c r="I69" i="6" s="1"/>
  <c r="G68" i="6"/>
  <c r="I68" i="6" s="1"/>
  <c r="F100" i="6"/>
  <c r="F99" i="6"/>
  <c r="H99" i="6" s="1"/>
  <c r="F98" i="6"/>
  <c r="H98" i="6" s="1"/>
  <c r="F97" i="6"/>
  <c r="F96" i="6"/>
  <c r="F95" i="6"/>
  <c r="H95" i="6" s="1"/>
  <c r="F94" i="6"/>
  <c r="F93" i="6"/>
  <c r="H93" i="6" s="1"/>
  <c r="F92" i="6"/>
  <c r="F91" i="6"/>
  <c r="F90" i="6"/>
  <c r="H90" i="6" s="1"/>
  <c r="F89" i="6"/>
  <c r="F88" i="6"/>
  <c r="H88" i="6" s="1"/>
  <c r="F87" i="6"/>
  <c r="H87" i="6" s="1"/>
  <c r="F86" i="6"/>
  <c r="H86" i="6" s="1"/>
  <c r="F85" i="6"/>
  <c r="F84" i="6"/>
  <c r="F83" i="6"/>
  <c r="H83" i="6" s="1"/>
  <c r="F82" i="6"/>
  <c r="H82" i="6" s="1"/>
  <c r="F81" i="6"/>
  <c r="H81" i="6" s="1"/>
  <c r="F80" i="6"/>
  <c r="F79" i="6"/>
  <c r="F78" i="6"/>
  <c r="H78" i="6" s="1"/>
  <c r="F77" i="6"/>
  <c r="F76" i="6"/>
  <c r="F75" i="6"/>
  <c r="H75" i="6" s="1"/>
  <c r="F74" i="6"/>
  <c r="F73" i="6"/>
  <c r="F72" i="6"/>
  <c r="H72" i="6" s="1"/>
  <c r="F71" i="6"/>
  <c r="H71" i="6" s="1"/>
  <c r="F70" i="6"/>
  <c r="H70" i="6" s="1"/>
  <c r="F69" i="6"/>
  <c r="H69" i="6" s="1"/>
  <c r="F68" i="6"/>
  <c r="H100" i="6"/>
  <c r="I99" i="6"/>
  <c r="H97" i="6"/>
  <c r="I96" i="6"/>
  <c r="H96" i="6"/>
  <c r="I95" i="6"/>
  <c r="I94" i="6"/>
  <c r="H94" i="6"/>
  <c r="I92" i="6"/>
  <c r="H92" i="6"/>
  <c r="H91" i="6"/>
  <c r="H89" i="6"/>
  <c r="I87" i="6"/>
  <c r="H85" i="6"/>
  <c r="I84" i="6"/>
  <c r="H84" i="6"/>
  <c r="I81" i="6"/>
  <c r="I80" i="6"/>
  <c r="H80" i="6"/>
  <c r="H79" i="6"/>
  <c r="I78" i="6"/>
  <c r="H77" i="6"/>
  <c r="I76" i="6"/>
  <c r="H76" i="6"/>
  <c r="I75" i="6"/>
  <c r="I74" i="6"/>
  <c r="H74" i="6"/>
  <c r="H73" i="6"/>
  <c r="I71" i="6"/>
  <c r="I70" i="6"/>
  <c r="H68" i="6"/>
  <c r="G67" i="6"/>
  <c r="G66" i="6"/>
  <c r="I66" i="6" s="1"/>
  <c r="G65" i="6"/>
  <c r="G64" i="6"/>
  <c r="G63" i="6"/>
  <c r="I63" i="6" s="1"/>
  <c r="G62" i="6"/>
  <c r="G61" i="6"/>
  <c r="G60" i="6"/>
  <c r="G59" i="6"/>
  <c r="G58" i="6"/>
  <c r="G57" i="6"/>
  <c r="G56" i="6"/>
  <c r="I56" i="6" s="1"/>
  <c r="G55" i="6"/>
  <c r="G54" i="6"/>
  <c r="G53" i="6"/>
  <c r="G52" i="6"/>
  <c r="I52" i="6" s="1"/>
  <c r="G51" i="6"/>
  <c r="I51" i="6" s="1"/>
  <c r="G50" i="6"/>
  <c r="I50" i="6" s="1"/>
  <c r="G49" i="6"/>
  <c r="G48" i="6"/>
  <c r="I48" i="6" s="1"/>
  <c r="G47" i="6"/>
  <c r="I47" i="6" s="1"/>
  <c r="G46" i="6"/>
  <c r="I46" i="6" s="1"/>
  <c r="G45" i="6"/>
  <c r="G44" i="6"/>
  <c r="I44" i="6" s="1"/>
  <c r="G43" i="6"/>
  <c r="I43" i="6" s="1"/>
  <c r="G42" i="6"/>
  <c r="I42" i="6" s="1"/>
  <c r="G41" i="6"/>
  <c r="G40" i="6"/>
  <c r="G39" i="6"/>
  <c r="I39" i="6" s="1"/>
  <c r="G38" i="6"/>
  <c r="F67" i="6"/>
  <c r="F66" i="6"/>
  <c r="H66" i="6" s="1"/>
  <c r="H65" i="6"/>
  <c r="F64" i="6"/>
  <c r="F63" i="6"/>
  <c r="F62" i="6"/>
  <c r="H62" i="6" s="1"/>
  <c r="F61" i="6"/>
  <c r="H61" i="6" s="1"/>
  <c r="F60" i="6"/>
  <c r="H60" i="6" s="1"/>
  <c r="F59" i="6"/>
  <c r="F58" i="6"/>
  <c r="F57" i="6"/>
  <c r="H57" i="6" s="1"/>
  <c r="F56" i="6"/>
  <c r="F55" i="6"/>
  <c r="F54" i="6"/>
  <c r="F53" i="6"/>
  <c r="H53" i="6" s="1"/>
  <c r="F52" i="6"/>
  <c r="F51" i="6"/>
  <c r="F50" i="6"/>
  <c r="H50" i="6" s="1"/>
  <c r="F49" i="6"/>
  <c r="H49" i="6" s="1"/>
  <c r="F48" i="6"/>
  <c r="F47" i="6"/>
  <c r="F46" i="6"/>
  <c r="F45" i="6"/>
  <c r="H45" i="6" s="1"/>
  <c r="F44" i="6"/>
  <c r="F43" i="6"/>
  <c r="F42" i="6"/>
  <c r="H42" i="6" s="1"/>
  <c r="F41" i="6"/>
  <c r="H41" i="6" s="1"/>
  <c r="F40" i="6"/>
  <c r="F39" i="6"/>
  <c r="F38" i="6"/>
  <c r="H38" i="6" s="1"/>
  <c r="I67" i="6"/>
  <c r="H67" i="6"/>
  <c r="I65" i="6"/>
  <c r="I64" i="6"/>
  <c r="H64" i="6"/>
  <c r="H63" i="6"/>
  <c r="I62" i="6"/>
  <c r="I61" i="6"/>
  <c r="I60" i="6"/>
  <c r="I59" i="6"/>
  <c r="H59" i="6"/>
  <c r="I58" i="6"/>
  <c r="H58" i="6"/>
  <c r="I57" i="6"/>
  <c r="H56" i="6"/>
  <c r="I55" i="6"/>
  <c r="H55" i="6"/>
  <c r="I54" i="6"/>
  <c r="H54" i="6"/>
  <c r="I53" i="6"/>
  <c r="H52" i="6"/>
  <c r="H51" i="6"/>
  <c r="I49" i="6"/>
  <c r="H48" i="6"/>
  <c r="H47" i="6"/>
  <c r="H46" i="6"/>
  <c r="I45" i="6"/>
  <c r="H44" i="6"/>
  <c r="H43" i="6"/>
  <c r="I41" i="6"/>
  <c r="I40" i="6"/>
  <c r="H40" i="6"/>
  <c r="H39" i="6"/>
  <c r="I38" i="6"/>
  <c r="G37" i="6"/>
  <c r="G36" i="6"/>
  <c r="G35" i="6"/>
  <c r="I35" i="6" s="1"/>
  <c r="G34" i="6"/>
  <c r="I34" i="6" s="1"/>
  <c r="G33" i="6"/>
  <c r="I33" i="6" s="1"/>
  <c r="G32" i="6"/>
  <c r="I32" i="6" s="1"/>
  <c r="G31" i="6"/>
  <c r="I31" i="6" s="1"/>
  <c r="G30" i="6"/>
  <c r="I30" i="6" s="1"/>
  <c r="G29" i="6"/>
  <c r="I29" i="6" s="1"/>
  <c r="G28" i="6"/>
  <c r="I28" i="6" s="1"/>
  <c r="G27" i="6"/>
  <c r="G26" i="6"/>
  <c r="I26" i="6" s="1"/>
  <c r="G25" i="6"/>
  <c r="I25" i="6" s="1"/>
  <c r="G24" i="6"/>
  <c r="I24" i="6" s="1"/>
  <c r="G23" i="6"/>
  <c r="I23" i="6" s="1"/>
  <c r="G22" i="6"/>
  <c r="I22" i="6" s="1"/>
  <c r="G21" i="6"/>
  <c r="G20" i="6"/>
  <c r="I20" i="6" s="1"/>
  <c r="G19" i="6"/>
  <c r="G18" i="6"/>
  <c r="G17" i="6"/>
  <c r="I17" i="6" s="1"/>
  <c r="F37" i="6"/>
  <c r="H37" i="6" s="1"/>
  <c r="F36" i="6"/>
  <c r="H36" i="6" s="1"/>
  <c r="F35" i="6"/>
  <c r="H35" i="6" s="1"/>
  <c r="F34" i="6"/>
  <c r="H34" i="6" s="1"/>
  <c r="F33" i="6"/>
  <c r="H33" i="6" s="1"/>
  <c r="F32" i="6"/>
  <c r="H32" i="6" s="1"/>
  <c r="F31" i="6"/>
  <c r="F30" i="6"/>
  <c r="H30" i="6" s="1"/>
  <c r="F29" i="6"/>
  <c r="H29" i="6" s="1"/>
  <c r="F28" i="6"/>
  <c r="F27" i="6"/>
  <c r="H27" i="6" s="1"/>
  <c r="F26" i="6"/>
  <c r="H26" i="6" s="1"/>
  <c r="F25" i="6"/>
  <c r="H25" i="6" s="1"/>
  <c r="F24" i="6"/>
  <c r="H24" i="6" s="1"/>
  <c r="F23" i="6"/>
  <c r="F22" i="6"/>
  <c r="H22" i="6" s="1"/>
  <c r="F21" i="6"/>
  <c r="F20" i="6"/>
  <c r="F19" i="6"/>
  <c r="H19" i="6" s="1"/>
  <c r="F18" i="6"/>
  <c r="H18" i="6" s="1"/>
  <c r="F17" i="6"/>
  <c r="H17" i="6" s="1"/>
  <c r="G16" i="6"/>
  <c r="I16" i="6" s="1"/>
  <c r="G15" i="6"/>
  <c r="I15" i="6" s="1"/>
  <c r="G14" i="6"/>
  <c r="I14" i="6" s="1"/>
  <c r="F16" i="6"/>
  <c r="H16" i="6" s="1"/>
  <c r="F15" i="6"/>
  <c r="F14" i="6"/>
  <c r="I37" i="6"/>
  <c r="I36" i="6"/>
  <c r="H31" i="6"/>
  <c r="H28" i="6"/>
  <c r="I27" i="6"/>
  <c r="H23" i="6"/>
  <c r="I21" i="6"/>
  <c r="H21" i="6"/>
  <c r="H20" i="6"/>
  <c r="I19" i="6"/>
  <c r="I18" i="6"/>
  <c r="H15" i="6"/>
  <c r="H14" i="6"/>
  <c r="H8" i="6"/>
  <c r="G8" i="6"/>
  <c r="I8" i="6"/>
  <c r="F9" i="6"/>
  <c r="H9" i="6" s="1"/>
  <c r="G9" i="6"/>
  <c r="I9" i="6"/>
  <c r="F10" i="6"/>
  <c r="H10" i="6" s="1"/>
  <c r="G10" i="6"/>
  <c r="I10" i="6"/>
  <c r="G13" i="6"/>
  <c r="I13" i="6" s="1"/>
  <c r="G12" i="6"/>
  <c r="I12" i="6" s="1"/>
  <c r="G11" i="6"/>
  <c r="F13" i="6"/>
  <c r="H13" i="6" s="1"/>
  <c r="F12" i="6"/>
  <c r="H12" i="6" s="1"/>
  <c r="F11" i="6"/>
  <c r="H11" i="6"/>
  <c r="I11" i="6"/>
  <c r="J8" i="6" l="1"/>
  <c r="J80" i="6"/>
  <c r="J98" i="6"/>
  <c r="J95" i="6"/>
  <c r="J92" i="6"/>
  <c r="J89" i="6"/>
  <c r="J86" i="6"/>
  <c r="J83" i="6"/>
  <c r="J77" i="6"/>
  <c r="J74" i="6"/>
  <c r="J71" i="6"/>
  <c r="J68" i="6"/>
  <c r="J56" i="6"/>
  <c r="J53" i="6"/>
  <c r="J44" i="6"/>
  <c r="J65" i="6"/>
  <c r="J50" i="6"/>
  <c r="J47" i="6"/>
  <c r="J41" i="6"/>
  <c r="J38" i="6"/>
  <c r="J62" i="6"/>
  <c r="J59" i="6"/>
  <c r="J35" i="6"/>
  <c r="J32" i="6"/>
  <c r="J29" i="6"/>
  <c r="J26" i="6"/>
  <c r="J20" i="6"/>
  <c r="J17" i="6"/>
  <c r="J14" i="6"/>
  <c r="J23" i="6"/>
  <c r="J11" i="6"/>
  <c r="J101" i="6" l="1"/>
  <c r="M106" i="2" l="1"/>
  <c r="M105" i="2" l="1"/>
  <c r="B102" i="2" l="1"/>
  <c r="C89" i="2" s="1"/>
  <c r="C87" i="2" l="1"/>
  <c r="C98" i="2"/>
  <c r="C94" i="2"/>
  <c r="C102" i="2" l="1"/>
  <c r="R59" i="2"/>
  <c r="D520" i="3" l="1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AD73" i="2" l="1"/>
  <c r="AB73" i="2"/>
  <c r="Z73" i="2"/>
  <c r="X73" i="2"/>
  <c r="V73" i="2"/>
  <c r="T73" i="2"/>
  <c r="R73" i="2"/>
  <c r="P73" i="2"/>
  <c r="N73" i="2"/>
  <c r="L73" i="2"/>
  <c r="J73" i="2"/>
  <c r="H73" i="2"/>
  <c r="F73" i="2"/>
  <c r="D73" i="2"/>
  <c r="AD59" i="2"/>
  <c r="AB59" i="2"/>
  <c r="Z59" i="2"/>
  <c r="X59" i="2"/>
  <c r="V59" i="2"/>
  <c r="T59" i="2"/>
  <c r="P59" i="2"/>
  <c r="N59" i="2"/>
  <c r="L59" i="2"/>
  <c r="J59" i="2"/>
  <c r="H59" i="2"/>
  <c r="F59" i="2"/>
  <c r="D59" i="2"/>
  <c r="AD45" i="2"/>
  <c r="AB45" i="2"/>
  <c r="Z45" i="2"/>
  <c r="X45" i="2"/>
  <c r="V45" i="2"/>
  <c r="T45" i="2"/>
  <c r="R45" i="2"/>
  <c r="P45" i="2"/>
  <c r="N45" i="2"/>
  <c r="L45" i="2"/>
  <c r="J45" i="2"/>
  <c r="H45" i="2"/>
  <c r="F45" i="2"/>
  <c r="D45" i="2"/>
  <c r="AD31" i="2"/>
  <c r="AB31" i="2"/>
  <c r="Z31" i="2"/>
  <c r="X31" i="2"/>
  <c r="V31" i="2"/>
  <c r="T31" i="2"/>
  <c r="R31" i="2"/>
  <c r="P31" i="2"/>
  <c r="N31" i="2"/>
  <c r="L31" i="2"/>
  <c r="J31" i="2"/>
  <c r="H31" i="2"/>
  <c r="F31" i="2"/>
  <c r="D31" i="2"/>
  <c r="AD17" i="2"/>
  <c r="AB17" i="2"/>
  <c r="V17" i="2"/>
  <c r="T17" i="2"/>
  <c r="R17" i="2"/>
  <c r="P17" i="2"/>
  <c r="N17" i="2"/>
  <c r="L17" i="2"/>
  <c r="J17" i="2"/>
  <c r="H17" i="2"/>
  <c r="Z17" i="2"/>
  <c r="AG15" i="2" l="1"/>
  <c r="Y77" i="2"/>
  <c r="Z80" i="2" s="1"/>
  <c r="AG70" i="2"/>
  <c r="AG71" i="2"/>
  <c r="AG56" i="2"/>
  <c r="AG43" i="2"/>
  <c r="AG57" i="2"/>
  <c r="AG42" i="2"/>
  <c r="AG28" i="2"/>
  <c r="AG29" i="2"/>
  <c r="X17" i="2"/>
  <c r="AG14" i="2" s="1"/>
  <c r="AI77" i="2" l="1"/>
  <c r="AG77" i="2"/>
  <c r="AC97" i="2"/>
  <c r="U97" i="2"/>
  <c r="M109" i="2" l="1"/>
  <c r="M98" i="2"/>
  <c r="M84" i="2"/>
  <c r="M87" i="2"/>
  <c r="M89" i="2"/>
  <c r="M94" i="2"/>
  <c r="M102" i="2" l="1"/>
  <c r="Q77" i="2" l="1"/>
  <c r="R80" i="2" s="1"/>
  <c r="Z101" i="2" l="1"/>
  <c r="D24" i="1" l="1"/>
  <c r="F23" i="1" s="1"/>
  <c r="F24" i="1" s="1"/>
  <c r="C24" i="1"/>
  <c r="D19" i="1"/>
  <c r="F18" i="1" s="1"/>
  <c r="C19" i="1"/>
  <c r="D10" i="1"/>
  <c r="F7" i="1" s="1"/>
  <c r="C10" i="1"/>
  <c r="F15" i="1" l="1"/>
  <c r="F16" i="1"/>
  <c r="F17" i="1"/>
  <c r="F14" i="1"/>
  <c r="F8" i="1"/>
  <c r="F5" i="1"/>
  <c r="F10" i="1" s="1"/>
  <c r="F9" i="1"/>
  <c r="F6" i="1"/>
  <c r="L74" i="2"/>
  <c r="F19" i="1" l="1"/>
  <c r="K23" i="1" l="1"/>
  <c r="E23" i="1"/>
  <c r="J18" i="1"/>
  <c r="I18" i="1"/>
  <c r="K18" i="1" s="1"/>
  <c r="E18" i="1"/>
  <c r="I17" i="1"/>
  <c r="K17" i="1" s="1"/>
  <c r="E17" i="1"/>
  <c r="J16" i="1"/>
  <c r="I16" i="1"/>
  <c r="K16" i="1" s="1"/>
  <c r="E16" i="1"/>
  <c r="J15" i="1"/>
  <c r="I15" i="1"/>
  <c r="K15" i="1" s="1"/>
  <c r="E15" i="1"/>
  <c r="J14" i="1"/>
  <c r="I14" i="1"/>
  <c r="E14" i="1"/>
  <c r="J9" i="1"/>
  <c r="I9" i="1"/>
  <c r="K9" i="1" s="1"/>
  <c r="E9" i="1"/>
  <c r="J8" i="1"/>
  <c r="I8" i="1"/>
  <c r="K8" i="1" s="1"/>
  <c r="E8" i="1"/>
  <c r="J7" i="1"/>
  <c r="I7" i="1"/>
  <c r="K7" i="1" s="1"/>
  <c r="E7" i="1"/>
  <c r="J6" i="1"/>
  <c r="I6" i="1"/>
  <c r="E6" i="1"/>
  <c r="J5" i="1"/>
  <c r="I5" i="1"/>
  <c r="K5" i="1" s="1"/>
  <c r="E5" i="1"/>
  <c r="K6" i="1" l="1"/>
  <c r="K14" i="1"/>
</calcChain>
</file>

<file path=xl/sharedStrings.xml><?xml version="1.0" encoding="utf-8"?>
<sst xmlns="http://schemas.openxmlformats.org/spreadsheetml/2006/main" count="335" uniqueCount="164">
  <si>
    <t>DEJEM</t>
  </si>
  <si>
    <t>SEG</t>
  </si>
  <si>
    <t>TER</t>
  </si>
  <si>
    <t>QUA</t>
  </si>
  <si>
    <t>QUI</t>
  </si>
  <si>
    <t>SEX</t>
  </si>
  <si>
    <t>DOM</t>
  </si>
  <si>
    <t>SAB</t>
  </si>
  <si>
    <t>VAGAS DISTRIBUIDAS</t>
  </si>
  <si>
    <t>COMPROMETIDAS</t>
  </si>
  <si>
    <t>DISPONIVEIS</t>
  </si>
  <si>
    <t>OPM</t>
  </si>
  <si>
    <t>Descrição</t>
  </si>
  <si>
    <t>Oficiais</t>
  </si>
  <si>
    <t>Praças</t>
  </si>
  <si>
    <t>Total Mês</t>
  </si>
  <si>
    <t>1ª Cia</t>
  </si>
  <si>
    <t>2ª Cia</t>
  </si>
  <si>
    <t>3º Cia</t>
  </si>
  <si>
    <t>Cia F. Tat</t>
  </si>
  <si>
    <t>3.BPM/I - EM</t>
  </si>
  <si>
    <t>OP SUFOCO</t>
  </si>
  <si>
    <t>DEJEM ESCOLAR</t>
  </si>
  <si>
    <t>CAP PM LEONARDO</t>
  </si>
  <si>
    <t>CAP PM ANDRÉ LUIS</t>
  </si>
  <si>
    <t>VAGAS DESTINADAS A OFICIAIS</t>
  </si>
  <si>
    <t>VAGAS DESTINADAS A PRAÇAS</t>
  </si>
  <si>
    <t>TEN PM MANTOANI</t>
  </si>
  <si>
    <t>TEN PM RIBEIRO</t>
  </si>
  <si>
    <t>TEN PM DERICK</t>
  </si>
  <si>
    <t>TEN PM ZANARDO</t>
  </si>
  <si>
    <t>MAJ PM EDUARDO</t>
  </si>
  <si>
    <t>CONTROLE DE VAGAS - MARÇO 2023</t>
  </si>
  <si>
    <t>%</t>
  </si>
  <si>
    <t>TEN PM FELIPE CARVALHO</t>
  </si>
  <si>
    <t>RECEBIDAS</t>
  </si>
  <si>
    <t>UTILIZADAS</t>
  </si>
  <si>
    <t xml:space="preserve">VAGAS DE OFICIAIS
ENVIADAS A CIA. TÁTICA  </t>
  </si>
  <si>
    <t>Of</t>
  </si>
  <si>
    <t>Pça</t>
  </si>
  <si>
    <t xml:space="preserve"> DEJEM IMPACTO</t>
  </si>
  <si>
    <t xml:space="preserve"> DEJEM</t>
  </si>
  <si>
    <t xml:space="preserve"> REFORÇO ESCOLAR</t>
  </si>
  <si>
    <t xml:space="preserve"> DEJEM TRIB. JUSTIÇA</t>
  </si>
  <si>
    <t>VAGAS DISPONÍVEIS</t>
  </si>
  <si>
    <t>TEN PM FEITOSA</t>
  </si>
  <si>
    <t>EM</t>
  </si>
  <si>
    <t>CAP PM DEL VECCHIO</t>
  </si>
  <si>
    <t>DISTRIBUIÇÃO DAS VAGAS</t>
  </si>
  <si>
    <t xml:space="preserve">TOTAL DE VAGAS ESCOLHIDAS PELOS OFICIAIS </t>
  </si>
  <si>
    <t>TOTAL DE VAGAS</t>
  </si>
  <si>
    <t xml:space="preserve">VAGAS DEJEM </t>
  </si>
  <si>
    <t xml:space="preserve">VAGAS IMPACTO </t>
  </si>
  <si>
    <t xml:space="preserve">VAGAS REFORÇO ESCOLAR </t>
  </si>
  <si>
    <t xml:space="preserve">VAGAS TRIBUNAL DE JUSTIÇA  </t>
  </si>
  <si>
    <t>ESCOLTA</t>
  </si>
  <si>
    <t xml:space="preserve"> </t>
  </si>
  <si>
    <t>TEN PM LETICIA</t>
  </si>
  <si>
    <t>TEN PM CARLA</t>
  </si>
  <si>
    <t>CAP PM DALTOSO</t>
  </si>
  <si>
    <t>DEJEM NORMAL</t>
  </si>
  <si>
    <t>OFICIAIS</t>
  </si>
  <si>
    <t>PRAÇAS</t>
  </si>
  <si>
    <t>DATA</t>
  </si>
  <si>
    <t>TURNO</t>
  </si>
  <si>
    <t>PROGRAMA
POLICIAMENTO</t>
  </si>
  <si>
    <t>ID</t>
  </si>
  <si>
    <t>PST/GRAD</t>
  </si>
  <si>
    <t>POLICIAL</t>
  </si>
  <si>
    <t>CONTATO</t>
  </si>
  <si>
    <t>DURAÇÃO</t>
  </si>
  <si>
    <t>OBSERVAÇÃO</t>
  </si>
  <si>
    <t>KM
Percorrido</t>
  </si>
  <si>
    <t>TEN PM BORGO</t>
  </si>
  <si>
    <t>EFETIVO / %</t>
  </si>
  <si>
    <t>MAJ EDUARDO</t>
  </si>
  <si>
    <t>CAP ANDRÉ</t>
  </si>
  <si>
    <t>TEN FELIPE CARVALHO</t>
  </si>
  <si>
    <t>TEN FEITOSA</t>
  </si>
  <si>
    <t>TEN DERICK</t>
  </si>
  <si>
    <t>TEN ZANARDO</t>
  </si>
  <si>
    <t>TEN CARLA</t>
  </si>
  <si>
    <t>TEN LETICIA</t>
  </si>
  <si>
    <t>TEN BORGO</t>
  </si>
  <si>
    <t>CAP DEL VECCHIO</t>
  </si>
  <si>
    <t xml:space="preserve"> DEJEM DELITOS RURAIS</t>
  </si>
  <si>
    <r>
      <t xml:space="preserve"> F. TÁT - </t>
    </r>
    <r>
      <rPr>
        <b/>
        <sz val="16"/>
        <color rgb="FFFF0000"/>
        <rFont val="Calibri"/>
        <family val="2"/>
        <scheme val="minor"/>
      </rPr>
      <t>603036700</t>
    </r>
  </si>
  <si>
    <r>
      <t xml:space="preserve"> 2ª CIA -</t>
    </r>
    <r>
      <rPr>
        <b/>
        <sz val="14"/>
        <color rgb="FFFF0000"/>
        <rFont val="Calibri"/>
        <family val="2"/>
        <scheme val="minor"/>
      </rPr>
      <t xml:space="preserve"> 603032000</t>
    </r>
  </si>
  <si>
    <r>
      <t xml:space="preserve"> 1ª CIA - </t>
    </r>
    <r>
      <rPr>
        <b/>
        <sz val="16"/>
        <color rgb="FFFF0000"/>
        <rFont val="Calibri"/>
        <family val="2"/>
        <scheme val="minor"/>
      </rPr>
      <t>603031000</t>
    </r>
  </si>
  <si>
    <r>
      <t xml:space="preserve"> 3ª CIA -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603033000</t>
    </r>
  </si>
  <si>
    <t>TEN PM GUEDES</t>
  </si>
  <si>
    <t>TEN GUEDES</t>
  </si>
  <si>
    <t>MAJ PM MARTINS RIBEIRO</t>
  </si>
  <si>
    <t>EVENTOS</t>
  </si>
  <si>
    <t>VAGAS DELITOS RURAIS / INCÊNDIOS</t>
  </si>
  <si>
    <t>CAP PM CRAVEIRO</t>
  </si>
  <si>
    <t>ESCOLAS</t>
  </si>
  <si>
    <t>Estaduais</t>
  </si>
  <si>
    <t>Municipais</t>
  </si>
  <si>
    <t>Sesi</t>
  </si>
  <si>
    <t>Faculdades</t>
  </si>
  <si>
    <t>1ª CIA</t>
  </si>
  <si>
    <t>2ª CIA</t>
  </si>
  <si>
    <t>E.E. Thomaz Alberto Wathelly</t>
  </si>
  <si>
    <t>E.E. Hely Lopes Meireles</t>
  </si>
  <si>
    <t>E.E. Antônio Diederichsen</t>
  </si>
  <si>
    <t>ETEC José Martimiano</t>
  </si>
  <si>
    <t>CAP CRAVERO</t>
  </si>
  <si>
    <r>
      <t xml:space="preserve">ESCOLTA / CUSTODIA DE PRESO - </t>
    </r>
    <r>
      <rPr>
        <b/>
        <sz val="18"/>
        <color rgb="FFFF0000"/>
        <rFont val="Arial"/>
        <family val="2"/>
      </rPr>
      <t>Hospital SANTA CASA</t>
    </r>
  </si>
  <si>
    <r>
      <t xml:space="preserve"> E.M.  -</t>
    </r>
    <r>
      <rPr>
        <b/>
        <sz val="16"/>
        <color rgb="FFFF0000"/>
        <rFont val="Calibri"/>
        <family val="2"/>
        <scheme val="minor"/>
      </rPr>
      <t xml:space="preserve"> 603039000</t>
    </r>
  </si>
  <si>
    <t>SUB NOMURA</t>
  </si>
  <si>
    <t>1º SGT PM KILL</t>
  </si>
  <si>
    <t>2º SGT PM RICARDO</t>
  </si>
  <si>
    <t>2º SGT PM MARAISA</t>
  </si>
  <si>
    <t>SGT PM ADENILSON</t>
  </si>
  <si>
    <t>corrida</t>
  </si>
  <si>
    <t>CAP PM HANNA</t>
  </si>
  <si>
    <t>SGT PM ALAN</t>
  </si>
  <si>
    <t>TEN CHEVCHUK</t>
  </si>
  <si>
    <t>TEN PM NATALIA</t>
  </si>
  <si>
    <t>TEN PM LARISSA</t>
  </si>
  <si>
    <t>SGT PM NAIARA</t>
  </si>
  <si>
    <t>MAJ MARTINS RIBEIRO</t>
  </si>
  <si>
    <t>CAP HANNA</t>
  </si>
  <si>
    <t>22:00 às 06:00</t>
  </si>
  <si>
    <t>14:00 às 22:00</t>
  </si>
  <si>
    <t>06:00 às 14:00</t>
  </si>
  <si>
    <t>DIA</t>
  </si>
  <si>
    <t>VAGAS</t>
  </si>
  <si>
    <t>OFIC</t>
  </si>
  <si>
    <t>PÇAS</t>
  </si>
  <si>
    <t>VALORES 
EMPREGADO</t>
  </si>
  <si>
    <t>CONTROLE ATIVIDADE DELEGADA</t>
  </si>
  <si>
    <t>VALOR P/ HORA</t>
  </si>
  <si>
    <t>VALOR DA ESCALA</t>
  </si>
  <si>
    <t>VALOR DA UFESP - R$</t>
  </si>
  <si>
    <r>
      <rPr>
        <b/>
        <sz val="16"/>
        <color rgb="FFFF0000"/>
        <rFont val="Arial"/>
        <family val="2"/>
      </rPr>
      <t xml:space="preserve">  AAAA</t>
    </r>
    <r>
      <rPr>
        <sz val="14"/>
        <color rgb="FFFF0000"/>
        <rFont val="Arial"/>
        <family val="2"/>
      </rPr>
      <t xml:space="preserve"> - Matricula: </t>
    </r>
    <r>
      <rPr>
        <sz val="14"/>
        <color theme="0"/>
        <rFont val="Arial"/>
        <family val="2"/>
      </rPr>
      <t>1.260.544</t>
    </r>
    <r>
      <rPr>
        <sz val="14"/>
        <color rgb="FFFF0000"/>
        <rFont val="Arial"/>
        <family val="2"/>
      </rPr>
      <t xml:space="preserve"> / RG         / CPF       - artigos </t>
    </r>
  </si>
  <si>
    <t>ABRIL</t>
  </si>
  <si>
    <t>RODEO MUSIC</t>
  </si>
  <si>
    <t>VAGAS - ABRIL 2026</t>
  </si>
  <si>
    <t>CHURRASQUINHO</t>
  </si>
  <si>
    <t>SGT RICARDO</t>
  </si>
  <si>
    <t>SGT MARAISA</t>
  </si>
  <si>
    <t>02 - 8350543 - 04:55</t>
  </si>
  <si>
    <t>01 - 8351258 - 18:03</t>
  </si>
  <si>
    <t xml:space="preserve">07 - 04:55 - 8389059 </t>
  </si>
  <si>
    <t>05 - 8350546 - 04:55</t>
  </si>
  <si>
    <t>25 -  - 18:03</t>
  </si>
  <si>
    <t>10 - 04:55</t>
  </si>
  <si>
    <t>15 - 04:55</t>
  </si>
  <si>
    <t xml:space="preserve">29 - 04:55 </t>
  </si>
  <si>
    <t>8389059 - 04:55  CAP DEL VECCHIO</t>
  </si>
  <si>
    <t>8390478
TEN CARLA</t>
  </si>
  <si>
    <t>06 - 07:00 - 8390478</t>
  </si>
  <si>
    <t xml:space="preserve">MAJ MARTINS RIBEIRO </t>
  </si>
  <si>
    <t>13:00 - 8397969    TEN GUEDES</t>
  </si>
  <si>
    <t>13:00 - 8397976    TEN GUEDES</t>
  </si>
  <si>
    <t xml:space="preserve">10 - 13:00 - 8397969 </t>
  </si>
  <si>
    <t xml:space="preserve">23 - 13:00 - 8397976 </t>
  </si>
  <si>
    <t>SGT ADEMILSON</t>
  </si>
  <si>
    <t>11 -  - 18:03</t>
  </si>
  <si>
    <t xml:space="preserve"> 8399644 - 18:03  CAP DEL VECCHIO</t>
  </si>
  <si>
    <t>14 - 18:03 - 8399644</t>
  </si>
  <si>
    <t>CIA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</si>
</sst>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d/m;@"/>
    <numFmt numFmtId="166" formatCode="h:mm;@"/>
  </numFmts>
  <fonts count="92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24"/>
      <color theme="1"/>
      <name val="Arial"/>
      <family val="2"/>
    </font>
    <font>
      <b/>
      <sz val="24"/>
      <color theme="1"/>
      <name val="Calibri"/>
      <family val="2"/>
      <scheme val="minor"/>
    </font>
    <font>
      <b/>
      <sz val="14"/>
      <color rgb="FF0000FF"/>
      <name val="Arial"/>
      <family val="2"/>
    </font>
    <font>
      <sz val="14"/>
      <color rgb="FF0000FF"/>
      <name val="Arial"/>
      <family val="2"/>
    </font>
    <font>
      <b/>
      <sz val="28"/>
      <name val="Calibri"/>
      <family val="2"/>
      <scheme val="minor"/>
    </font>
    <font>
      <b/>
      <sz val="28"/>
      <color rgb="FF0000FF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14"/>
      <color theme="0"/>
      <name val="Arial"/>
      <family val="2"/>
    </font>
    <font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36"/>
      <color rgb="FF0000FF"/>
      <name val="Calibri"/>
      <family val="2"/>
      <scheme val="minor"/>
    </font>
    <font>
      <sz val="36"/>
      <color rgb="FF0000FF"/>
      <name val="Calibri"/>
      <family val="2"/>
      <scheme val="minor"/>
    </font>
    <font>
      <b/>
      <sz val="12"/>
      <color rgb="FF0000FF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48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48"/>
      <color rgb="FF0000FF"/>
      <name val="Calibri"/>
      <family val="2"/>
    </font>
    <font>
      <b/>
      <sz val="36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u/>
      <sz val="4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4"/>
      <color theme="1"/>
      <name val="Arial"/>
      <family val="2"/>
    </font>
    <font>
      <b/>
      <sz val="12"/>
      <name val="Calibri"/>
      <family val="2"/>
      <scheme val="minor"/>
    </font>
    <font>
      <b/>
      <sz val="16"/>
      <name val="Arial"/>
      <family val="2"/>
    </font>
    <font>
      <b/>
      <sz val="28"/>
      <color rgb="FF0000FF"/>
      <name val="Arial"/>
      <family val="2"/>
    </font>
    <font>
      <b/>
      <i/>
      <sz val="14"/>
      <color rgb="FF0000FF"/>
      <name val="Calibri"/>
      <family val="2"/>
      <scheme val="minor"/>
    </font>
    <font>
      <b/>
      <sz val="14"/>
      <color rgb="FF00B0F0"/>
      <name val="Arial"/>
      <family val="2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28"/>
      <color rgb="FF00B0F0"/>
      <name val="Calibri"/>
      <family val="2"/>
      <scheme val="minor"/>
    </font>
    <font>
      <b/>
      <sz val="11"/>
      <name val="Calibri"/>
      <family val="2"/>
      <scheme val="minor"/>
    </font>
    <font>
      <b/>
      <sz val="45"/>
      <color rgb="FFFF0000"/>
      <name val="Arial"/>
      <family val="2"/>
    </font>
    <font>
      <b/>
      <sz val="28"/>
      <color rgb="FFFF000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3"/>
      <name val="Arial"/>
      <family val="2"/>
    </font>
    <font>
      <sz val="2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rgb="FF0000FF"/>
      <name val="Calibri"/>
      <family val="2"/>
      <scheme val="minor"/>
    </font>
    <font>
      <b/>
      <sz val="18"/>
      <color rgb="FF0000FF"/>
      <name val="Calibri"/>
      <family val="2"/>
      <scheme val="minor"/>
    </font>
    <font>
      <b/>
      <sz val="26"/>
      <color rgb="FF0000FF"/>
      <name val="Calibri"/>
      <family val="2"/>
      <scheme val="minor"/>
    </font>
    <font>
      <b/>
      <sz val="16"/>
      <color rgb="FFFF0000"/>
      <name val="Arial"/>
      <family val="2"/>
    </font>
    <font>
      <b/>
      <sz val="14"/>
      <color theme="0" tint="-0.249977111117893"/>
      <name val="Arial"/>
      <family val="2"/>
    </font>
    <font>
      <b/>
      <sz val="11"/>
      <color theme="0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8"/>
      <name val="Arial"/>
      <family val="2"/>
    </font>
    <font>
      <b/>
      <sz val="11"/>
      <color theme="0"/>
      <name val="Arial"/>
      <family val="2"/>
    </font>
    <font>
      <sz val="14"/>
      <color theme="0" tint="-0.249977111117893"/>
      <name val="Arial"/>
      <family val="2"/>
    </font>
    <font>
      <sz val="12"/>
      <color theme="0" tint="-0.249977111117893"/>
      <name val="Arial"/>
      <family val="2"/>
    </font>
    <font>
      <b/>
      <sz val="16"/>
      <color rgb="FF0000FF"/>
      <name val="Arial"/>
      <family val="2"/>
    </font>
    <font>
      <b/>
      <sz val="22"/>
      <color theme="1"/>
      <name val="Arial"/>
      <family val="2"/>
    </font>
    <font>
      <sz val="20"/>
      <color theme="0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sz val="28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2"/>
      <name val="Arial"/>
      <family val="2"/>
    </font>
    <font>
      <sz val="14"/>
      <color rgb="FFFF0000"/>
      <name val="Calibri"/>
      <family val="2"/>
      <scheme val="minor"/>
    </font>
    <font>
      <b/>
      <sz val="18"/>
      <color rgb="FFFF0000"/>
      <name val="Arial"/>
      <family val="2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3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22"/>
      <color rgb="FFFF0000"/>
      <name val="Arial"/>
      <family val="2"/>
    </font>
    <font>
      <b/>
      <sz val="2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0">
    <xf numFmtId="0" fontId="0" fillId="0" borderId="0" xfId="0"/>
    <xf numFmtId="0" fontId="0" fillId="2" borderId="0" xfId="0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5" fillId="3" borderId="40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4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5" fillId="3" borderId="45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3" borderId="47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6" fillId="2" borderId="32" xfId="0" applyFont="1" applyFill="1" applyBorder="1" applyAlignment="1">
      <alignment horizontal="center" vertical="center"/>
    </xf>
    <xf numFmtId="0" fontId="16" fillId="2" borderId="36" xfId="0" applyFont="1" applyFill="1" applyBorder="1" applyAlignment="1">
      <alignment horizontal="center" vertical="center" wrapText="1"/>
    </xf>
    <xf numFmtId="0" fontId="16" fillId="2" borderId="4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0" borderId="50" xfId="0" applyFont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39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/>
    </xf>
    <xf numFmtId="0" fontId="3" fillId="5" borderId="42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164" fontId="27" fillId="5" borderId="17" xfId="0" applyNumberFormat="1" applyFont="1" applyFill="1" applyBorder="1" applyAlignment="1">
      <alignment horizontal="center" vertical="center"/>
    </xf>
    <xf numFmtId="164" fontId="27" fillId="5" borderId="26" xfId="0" applyNumberFormat="1" applyFont="1" applyFill="1" applyBorder="1" applyAlignment="1">
      <alignment horizontal="center" vertical="center"/>
    </xf>
    <xf numFmtId="164" fontId="27" fillId="5" borderId="31" xfId="0" applyNumberFormat="1" applyFont="1" applyFill="1" applyBorder="1" applyAlignment="1">
      <alignment horizontal="center" vertical="center"/>
    </xf>
    <xf numFmtId="164" fontId="27" fillId="5" borderId="35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51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6" fillId="2" borderId="55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0" fillId="6" borderId="31" xfId="0" applyFill="1" applyBorder="1" applyAlignment="1">
      <alignment vertical="center"/>
    </xf>
    <xf numFmtId="0" fontId="20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9" fillId="2" borderId="0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6" fillId="9" borderId="38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44" fillId="2" borderId="1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35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46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3" fontId="52" fillId="2" borderId="0" xfId="0" applyNumberFormat="1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5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4" fillId="2" borderId="0" xfId="0" applyFont="1" applyFill="1" applyBorder="1" applyAlignment="1">
      <alignment horizontal="center" vertical="center"/>
    </xf>
    <xf numFmtId="0" fontId="56" fillId="2" borderId="0" xfId="0" applyFont="1" applyFill="1" applyBorder="1" applyAlignment="1">
      <alignment vertical="center"/>
    </xf>
    <xf numFmtId="0" fontId="55" fillId="2" borderId="0" xfId="0" applyFont="1" applyFill="1" applyBorder="1" applyAlignment="1">
      <alignment vertical="center"/>
    </xf>
    <xf numFmtId="0" fontId="54" fillId="0" borderId="0" xfId="0" applyFont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44" fillId="2" borderId="29" xfId="0" applyFont="1" applyFill="1" applyBorder="1" applyAlignment="1">
      <alignment horizontal="center" vertical="center"/>
    </xf>
    <xf numFmtId="0" fontId="44" fillId="2" borderId="10" xfId="0" applyFont="1" applyFill="1" applyBorder="1" applyAlignment="1">
      <alignment horizontal="center" vertical="center"/>
    </xf>
    <xf numFmtId="0" fontId="44" fillId="2" borderId="42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6" fillId="6" borderId="36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16" fillId="6" borderId="55" xfId="0" applyFont="1" applyFill="1" applyBorder="1" applyAlignment="1">
      <alignment horizontal="center" vertical="center"/>
    </xf>
    <xf numFmtId="0" fontId="8" fillId="6" borderId="29" xfId="0" quotePrefix="1" applyFont="1" applyFill="1" applyBorder="1" applyAlignment="1">
      <alignment horizontal="center" vertical="center"/>
    </xf>
    <xf numFmtId="0" fontId="16" fillId="6" borderId="32" xfId="0" applyFont="1" applyFill="1" applyBorder="1" applyAlignment="1">
      <alignment horizontal="center" vertical="center"/>
    </xf>
    <xf numFmtId="0" fontId="8" fillId="6" borderId="44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/>
    </xf>
    <xf numFmtId="0" fontId="59" fillId="2" borderId="0" xfId="0" applyFont="1" applyFill="1" applyBorder="1" applyAlignment="1">
      <alignment horizontal="center" vertical="center"/>
    </xf>
    <xf numFmtId="0" fontId="62" fillId="2" borderId="0" xfId="0" applyFont="1" applyFill="1" applyBorder="1" applyAlignment="1">
      <alignment horizontal="center" vertical="center"/>
    </xf>
    <xf numFmtId="164" fontId="63" fillId="2" borderId="0" xfId="0" applyNumberFormat="1" applyFont="1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17" fillId="2" borderId="0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center" vertical="center"/>
    </xf>
    <xf numFmtId="0" fontId="58" fillId="2" borderId="0" xfId="0" applyFont="1" applyFill="1" applyBorder="1" applyAlignment="1">
      <alignment vertical="center"/>
    </xf>
    <xf numFmtId="164" fontId="53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7" fillId="2" borderId="0" xfId="0" applyNumberFormat="1" applyFont="1" applyFill="1" applyAlignment="1">
      <alignment horizontal="center" vertical="center"/>
    </xf>
    <xf numFmtId="0" fontId="68" fillId="2" borderId="0" xfId="0" applyFont="1" applyFill="1" applyAlignment="1">
      <alignment horizontal="center" vertical="center"/>
    </xf>
    <xf numFmtId="0" fontId="44" fillId="2" borderId="24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69" fillId="2" borderId="0" xfId="0" applyFont="1" applyFill="1" applyAlignment="1">
      <alignment horizontal="center" vertical="center"/>
    </xf>
    <xf numFmtId="0" fontId="70" fillId="2" borderId="0" xfId="0" applyFont="1" applyFill="1" applyBorder="1" applyAlignment="1">
      <alignment horizontal="center" vertical="center"/>
    </xf>
    <xf numFmtId="0" fontId="64" fillId="2" borderId="0" xfId="0" applyFont="1" applyFill="1" applyAlignment="1">
      <alignment horizontal="center" vertical="center"/>
    </xf>
    <xf numFmtId="0" fontId="69" fillId="2" borderId="0" xfId="0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71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72" fillId="0" borderId="0" xfId="0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10" fillId="6" borderId="20" xfId="0" applyNumberFormat="1" applyFont="1" applyFill="1" applyBorder="1" applyAlignment="1">
      <alignment horizontal="center" vertical="center"/>
    </xf>
    <xf numFmtId="0" fontId="10" fillId="6" borderId="28" xfId="0" applyNumberFormat="1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63" fillId="2" borderId="2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5" fontId="54" fillId="2" borderId="0" xfId="0" applyNumberFormat="1" applyFont="1" applyFill="1" applyAlignment="1">
      <alignment horizontal="center" vertical="center"/>
    </xf>
    <xf numFmtId="165" fontId="54" fillId="0" borderId="0" xfId="0" applyNumberFormat="1" applyFont="1" applyAlignment="1">
      <alignment horizontal="center" vertical="center"/>
    </xf>
    <xf numFmtId="166" fontId="54" fillId="2" borderId="0" xfId="0" applyNumberFormat="1" applyFont="1" applyFill="1" applyAlignment="1">
      <alignment vertical="center"/>
    </xf>
    <xf numFmtId="166" fontId="54" fillId="0" borderId="0" xfId="0" applyNumberFormat="1" applyFont="1" applyAlignment="1">
      <alignment vertical="center"/>
    </xf>
    <xf numFmtId="166" fontId="54" fillId="2" borderId="0" xfId="0" applyNumberFormat="1" applyFont="1" applyFill="1" applyAlignment="1">
      <alignment horizontal="center" vertical="center"/>
    </xf>
    <xf numFmtId="166" fontId="54" fillId="0" borderId="30" xfId="0" applyNumberFormat="1" applyFont="1" applyBorder="1" applyAlignment="1">
      <alignment horizontal="center" vertical="center"/>
    </xf>
    <xf numFmtId="166" fontId="54" fillId="0" borderId="0" xfId="0" applyNumberFormat="1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166" fontId="54" fillId="0" borderId="22" xfId="0" applyNumberFormat="1" applyFont="1" applyBorder="1" applyAlignment="1">
      <alignment horizontal="center" vertical="center"/>
    </xf>
    <xf numFmtId="166" fontId="54" fillId="0" borderId="64" xfId="0" applyNumberFormat="1" applyFont="1" applyBorder="1" applyAlignment="1">
      <alignment horizontal="center" vertical="center"/>
    </xf>
    <xf numFmtId="166" fontId="54" fillId="0" borderId="58" xfId="0" applyNumberFormat="1" applyFont="1" applyBorder="1" applyAlignment="1">
      <alignment horizontal="center" vertical="center"/>
    </xf>
    <xf numFmtId="165" fontId="75" fillId="4" borderId="35" xfId="0" applyNumberFormat="1" applyFont="1" applyFill="1" applyBorder="1" applyAlignment="1">
      <alignment horizontal="center" vertical="center"/>
    </xf>
    <xf numFmtId="165" fontId="54" fillId="0" borderId="26" xfId="0" applyNumberFormat="1" applyFont="1" applyBorder="1" applyAlignment="1">
      <alignment horizontal="center" vertical="center"/>
    </xf>
    <xf numFmtId="165" fontId="54" fillId="0" borderId="51" xfId="0" applyNumberFormat="1" applyFont="1" applyBorder="1" applyAlignment="1">
      <alignment horizontal="center" vertical="center"/>
    </xf>
    <xf numFmtId="166" fontId="75" fillId="4" borderId="39" xfId="0" applyNumberFormat="1" applyFont="1" applyFill="1" applyBorder="1" applyAlignment="1">
      <alignment horizontal="center" vertical="center"/>
    </xf>
    <xf numFmtId="166" fontId="6" fillId="5" borderId="45" xfId="0" applyNumberFormat="1" applyFont="1" applyFill="1" applyBorder="1" applyAlignment="1">
      <alignment horizontal="center" vertical="center"/>
    </xf>
    <xf numFmtId="166" fontId="6" fillId="5" borderId="46" xfId="0" applyNumberFormat="1" applyFont="1" applyFill="1" applyBorder="1" applyAlignment="1">
      <alignment horizontal="center" vertical="center"/>
    </xf>
    <xf numFmtId="0" fontId="75" fillId="4" borderId="35" xfId="0" applyFont="1" applyFill="1" applyBorder="1" applyAlignment="1">
      <alignment horizontal="center" vertical="center" wrapText="1"/>
    </xf>
    <xf numFmtId="0" fontId="54" fillId="0" borderId="26" xfId="0" applyFont="1" applyBorder="1" applyAlignment="1">
      <alignment horizontal="center" vertical="center"/>
    </xf>
    <xf numFmtId="0" fontId="54" fillId="0" borderId="51" xfId="0" applyFont="1" applyBorder="1" applyAlignment="1">
      <alignment horizontal="center" vertical="center"/>
    </xf>
    <xf numFmtId="0" fontId="75" fillId="4" borderId="6" xfId="0" applyFont="1" applyFill="1" applyBorder="1" applyAlignment="1">
      <alignment horizontal="center" vertical="center"/>
    </xf>
    <xf numFmtId="0" fontId="54" fillId="0" borderId="45" xfId="0" applyFont="1" applyBorder="1" applyAlignment="1">
      <alignment horizontal="center" vertical="center"/>
    </xf>
    <xf numFmtId="0" fontId="54" fillId="0" borderId="4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166" fontId="75" fillId="4" borderId="6" xfId="0" applyNumberFormat="1" applyFont="1" applyFill="1" applyBorder="1" applyAlignment="1">
      <alignment horizontal="center" vertical="center" wrapText="1"/>
    </xf>
    <xf numFmtId="1" fontId="6" fillId="2" borderId="45" xfId="0" applyNumberFormat="1" applyFont="1" applyFill="1" applyBorder="1" applyAlignment="1">
      <alignment horizontal="center" vertical="center"/>
    </xf>
    <xf numFmtId="1" fontId="6" fillId="2" borderId="46" xfId="0" applyNumberFormat="1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9" fontId="62" fillId="2" borderId="0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50" fillId="2" borderId="0" xfId="0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9" fillId="2" borderId="0" xfId="0" applyFont="1" applyFill="1" applyAlignment="1">
      <alignment horizontal="center" vertical="center"/>
    </xf>
    <xf numFmtId="0" fontId="8" fillId="6" borderId="46" xfId="0" applyFont="1" applyFill="1" applyBorder="1" applyAlignment="1">
      <alignment horizontal="center" vertical="center"/>
    </xf>
    <xf numFmtId="0" fontId="80" fillId="2" borderId="0" xfId="0" applyFont="1" applyFill="1" applyBorder="1" applyAlignment="1">
      <alignment horizontal="center" vertical="center" wrapText="1"/>
    </xf>
    <xf numFmtId="0" fontId="80" fillId="2" borderId="0" xfId="0" applyFont="1" applyFill="1" applyBorder="1" applyAlignment="1">
      <alignment horizontal="center" vertical="center"/>
    </xf>
    <xf numFmtId="0" fontId="44" fillId="6" borderId="2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64" xfId="0" applyFont="1" applyFill="1" applyBorder="1" applyAlignment="1">
      <alignment horizontal="center" vertical="center"/>
    </xf>
    <xf numFmtId="0" fontId="24" fillId="2" borderId="64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24" fillId="2" borderId="4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24" fillId="2" borderId="33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" fontId="81" fillId="2" borderId="45" xfId="0" applyNumberFormat="1" applyFont="1" applyFill="1" applyBorder="1" applyAlignment="1">
      <alignment horizontal="center" vertical="center"/>
    </xf>
    <xf numFmtId="1" fontId="81" fillId="2" borderId="46" xfId="0" applyNumberFormat="1" applyFont="1" applyFill="1" applyBorder="1" applyAlignment="1">
      <alignment horizontal="center" vertical="center"/>
    </xf>
    <xf numFmtId="0" fontId="83" fillId="2" borderId="58" xfId="0" applyFont="1" applyFill="1" applyBorder="1" applyAlignment="1">
      <alignment horizontal="center" vertical="center"/>
    </xf>
    <xf numFmtId="0" fontId="83" fillId="2" borderId="46" xfId="0" applyFont="1" applyFill="1" applyBorder="1" applyAlignment="1">
      <alignment horizontal="center" vertical="center"/>
    </xf>
    <xf numFmtId="0" fontId="81" fillId="2" borderId="46" xfId="0" applyFont="1" applyFill="1" applyBorder="1" applyAlignment="1">
      <alignment horizontal="center" vertical="center"/>
    </xf>
    <xf numFmtId="0" fontId="83" fillId="2" borderId="51" xfId="0" applyFont="1" applyFill="1" applyBorder="1" applyAlignment="1">
      <alignment horizontal="center" vertical="center"/>
    </xf>
    <xf numFmtId="0" fontId="44" fillId="2" borderId="46" xfId="0" applyFont="1" applyFill="1" applyBorder="1" applyAlignment="1">
      <alignment horizontal="center" vertical="center"/>
    </xf>
    <xf numFmtId="0" fontId="16" fillId="6" borderId="23" xfId="0" applyFont="1" applyFill="1" applyBorder="1" applyAlignment="1">
      <alignment horizontal="center" vertical="center" wrapText="1"/>
    </xf>
    <xf numFmtId="0" fontId="8" fillId="6" borderId="4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6" fillId="3" borderId="55" xfId="0" applyFont="1" applyFill="1" applyBorder="1" applyAlignment="1">
      <alignment horizontal="center" vertical="center"/>
    </xf>
    <xf numFmtId="0" fontId="16" fillId="6" borderId="36" xfId="0" applyFont="1" applyFill="1" applyBorder="1" applyAlignment="1">
      <alignment horizontal="center" vertical="center" wrapText="1"/>
    </xf>
    <xf numFmtId="0" fontId="62" fillId="2" borderId="0" xfId="0" applyFont="1" applyFill="1" applyBorder="1" applyAlignment="1">
      <alignment horizontal="center" vertical="center"/>
    </xf>
    <xf numFmtId="0" fontId="51" fillId="2" borderId="3" xfId="0" applyFont="1" applyFill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164" fontId="20" fillId="0" borderId="0" xfId="0" applyNumberFormat="1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54" fillId="2" borderId="58" xfId="0" applyFont="1" applyFill="1" applyBorder="1" applyAlignment="1">
      <alignment horizontal="center" vertical="center"/>
    </xf>
    <xf numFmtId="0" fontId="54" fillId="2" borderId="46" xfId="0" applyFont="1" applyFill="1" applyBorder="1" applyAlignment="1">
      <alignment horizontal="center" vertical="center"/>
    </xf>
    <xf numFmtId="0" fontId="54" fillId="2" borderId="64" xfId="0" applyFont="1" applyFill="1" applyBorder="1" applyAlignment="1">
      <alignment horizontal="center" vertical="center"/>
    </xf>
    <xf numFmtId="0" fontId="54" fillId="2" borderId="45" xfId="0" applyFont="1" applyFill="1" applyBorder="1" applyAlignment="1">
      <alignment horizontal="center" vertical="center"/>
    </xf>
    <xf numFmtId="0" fontId="54" fillId="0" borderId="27" xfId="0" applyFont="1" applyBorder="1" applyAlignment="1">
      <alignment horizontal="center" vertical="center"/>
    </xf>
    <xf numFmtId="0" fontId="54" fillId="2" borderId="0" xfId="0" applyFont="1" applyFill="1" applyAlignment="1">
      <alignment vertical="center"/>
    </xf>
    <xf numFmtId="0" fontId="54" fillId="0" borderId="9" xfId="0" applyFont="1" applyBorder="1" applyAlignment="1">
      <alignment horizontal="center" vertical="center"/>
    </xf>
    <xf numFmtId="0" fontId="54" fillId="0" borderId="13" xfId="0" applyFont="1" applyBorder="1" applyAlignment="1">
      <alignment horizontal="center" vertical="center"/>
    </xf>
    <xf numFmtId="0" fontId="75" fillId="3" borderId="13" xfId="0" applyFont="1" applyFill="1" applyBorder="1" applyAlignment="1">
      <alignment horizontal="center" vertical="center"/>
    </xf>
    <xf numFmtId="0" fontId="75" fillId="3" borderId="14" xfId="0" applyFont="1" applyFill="1" applyBorder="1" applyAlignment="1">
      <alignment horizontal="center" vertical="center"/>
    </xf>
    <xf numFmtId="0" fontId="54" fillId="0" borderId="20" xfId="0" applyFont="1" applyBorder="1" applyAlignment="1">
      <alignment horizontal="center" vertical="center"/>
    </xf>
    <xf numFmtId="0" fontId="54" fillId="0" borderId="28" xfId="0" applyFont="1" applyBorder="1" applyAlignment="1">
      <alignment horizontal="center" vertical="center"/>
    </xf>
    <xf numFmtId="0" fontId="54" fillId="0" borderId="14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4" fontId="54" fillId="3" borderId="8" xfId="0" applyNumberFormat="1" applyFont="1" applyFill="1" applyBorder="1" applyAlignment="1">
      <alignment horizontal="center" vertical="center"/>
    </xf>
    <xf numFmtId="4" fontId="54" fillId="3" borderId="10" xfId="0" applyNumberFormat="1" applyFont="1" applyFill="1" applyBorder="1" applyAlignment="1">
      <alignment horizontal="center" vertical="center"/>
    </xf>
    <xf numFmtId="4" fontId="54" fillId="3" borderId="37" xfId="0" applyNumberFormat="1" applyFont="1" applyFill="1" applyBorder="1" applyAlignment="1">
      <alignment horizontal="center" vertical="center"/>
    </xf>
    <xf numFmtId="4" fontId="54" fillId="3" borderId="29" xfId="0" applyNumberFormat="1" applyFont="1" applyFill="1" applyBorder="1" applyAlignment="1">
      <alignment horizontal="center" vertical="center"/>
    </xf>
    <xf numFmtId="4" fontId="54" fillId="3" borderId="12" xfId="0" applyNumberFormat="1" applyFont="1" applyFill="1" applyBorder="1" applyAlignment="1">
      <alignment horizontal="center" vertical="center"/>
    </xf>
    <xf numFmtId="4" fontId="54" fillId="3" borderId="15" xfId="0" applyNumberFormat="1" applyFont="1" applyFill="1" applyBorder="1" applyAlignment="1">
      <alignment horizontal="center" vertical="center"/>
    </xf>
    <xf numFmtId="4" fontId="54" fillId="3" borderId="18" xfId="0" applyNumberFormat="1" applyFont="1" applyFill="1" applyBorder="1" applyAlignment="1">
      <alignment horizontal="center" vertical="center"/>
    </xf>
    <xf numFmtId="4" fontId="54" fillId="3" borderId="24" xfId="0" applyNumberFormat="1" applyFont="1" applyFill="1" applyBorder="1" applyAlignment="1">
      <alignment horizontal="center" vertical="center"/>
    </xf>
    <xf numFmtId="4" fontId="54" fillId="3" borderId="40" xfId="0" applyNumberFormat="1" applyFont="1" applyFill="1" applyBorder="1" applyAlignment="1">
      <alignment horizontal="center" vertical="center"/>
    </xf>
    <xf numFmtId="4" fontId="54" fillId="3" borderId="42" xfId="0" applyNumberFormat="1" applyFont="1" applyFill="1" applyBorder="1" applyAlignment="1">
      <alignment horizontal="center" vertical="center"/>
    </xf>
    <xf numFmtId="4" fontId="90" fillId="2" borderId="0" xfId="0" applyNumberFormat="1" applyFont="1" applyFill="1" applyAlignment="1">
      <alignment horizontal="center" vertical="center"/>
    </xf>
    <xf numFmtId="4" fontId="24" fillId="4" borderId="35" xfId="0" applyNumberFormat="1" applyFont="1" applyFill="1" applyBorder="1" applyAlignment="1">
      <alignment vertical="center"/>
    </xf>
    <xf numFmtId="0" fontId="7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81" fillId="2" borderId="51" xfId="0" applyFont="1" applyFill="1" applyBorder="1" applyAlignment="1">
      <alignment horizontal="center" vertical="center"/>
    </xf>
    <xf numFmtId="0" fontId="81" fillId="2" borderId="58" xfId="0" applyFont="1" applyFill="1" applyBorder="1" applyAlignment="1">
      <alignment horizontal="center" vertical="center"/>
    </xf>
    <xf numFmtId="0" fontId="81" fillId="2" borderId="44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/>
    </xf>
    <xf numFmtId="1" fontId="81" fillId="2" borderId="44" xfId="0" applyNumberFormat="1" applyFont="1" applyFill="1" applyBorder="1" applyAlignment="1">
      <alignment horizontal="center" vertical="center"/>
    </xf>
    <xf numFmtId="0" fontId="81" fillId="2" borderId="17" xfId="0" applyFont="1" applyFill="1" applyBorder="1" applyAlignment="1">
      <alignment horizontal="center" vertical="center"/>
    </xf>
    <xf numFmtId="0" fontId="81" fillId="2" borderId="49" xfId="0" applyFont="1" applyFill="1" applyBorder="1" applyAlignment="1">
      <alignment horizontal="center" vertical="center"/>
    </xf>
    <xf numFmtId="0" fontId="81" fillId="2" borderId="44" xfId="0" applyFont="1" applyFill="1" applyBorder="1" applyAlignment="1">
      <alignment horizontal="center" vertical="center" wrapText="1"/>
    </xf>
    <xf numFmtId="0" fontId="83" fillId="2" borderId="26" xfId="0" applyFont="1" applyFill="1" applyBorder="1" applyAlignment="1">
      <alignment horizontal="center" vertical="center"/>
    </xf>
    <xf numFmtId="0" fontId="83" fillId="2" borderId="45" xfId="0" applyFont="1" applyFill="1" applyBorder="1" applyAlignment="1">
      <alignment horizontal="center" vertical="center"/>
    </xf>
    <xf numFmtId="0" fontId="54" fillId="2" borderId="51" xfId="0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/>
    </xf>
    <xf numFmtId="0" fontId="10" fillId="6" borderId="28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54" fillId="2" borderId="9" xfId="0" applyFont="1" applyFill="1" applyBorder="1" applyAlignment="1">
      <alignment vertical="center"/>
    </xf>
    <xf numFmtId="0" fontId="54" fillId="2" borderId="27" xfId="0" applyFont="1" applyFill="1" applyBorder="1" applyAlignment="1">
      <alignment vertical="center"/>
    </xf>
    <xf numFmtId="0" fontId="54" fillId="2" borderId="13" xfId="0" applyFont="1" applyFill="1" applyBorder="1" applyAlignment="1">
      <alignment vertical="center"/>
    </xf>
    <xf numFmtId="0" fontId="16" fillId="3" borderId="36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5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8" fillId="6" borderId="47" xfId="0" applyFont="1" applyFill="1" applyBorder="1" applyAlignment="1">
      <alignment horizontal="center" vertical="center"/>
    </xf>
    <xf numFmtId="165" fontId="83" fillId="2" borderId="17" xfId="0" applyNumberFormat="1" applyFont="1" applyFill="1" applyBorder="1" applyAlignment="1">
      <alignment horizontal="center" vertical="center"/>
    </xf>
    <xf numFmtId="165" fontId="83" fillId="2" borderId="51" xfId="0" applyNumberFormat="1" applyFont="1" applyFill="1" applyBorder="1" applyAlignment="1">
      <alignment horizontal="center" vertical="center"/>
    </xf>
    <xf numFmtId="165" fontId="54" fillId="2" borderId="51" xfId="0" applyNumberFormat="1" applyFont="1" applyFill="1" applyBorder="1" applyAlignment="1">
      <alignment horizontal="center" vertical="center"/>
    </xf>
    <xf numFmtId="165" fontId="54" fillId="2" borderId="26" xfId="0" applyNumberFormat="1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3" fillId="2" borderId="4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 wrapText="1"/>
    </xf>
    <xf numFmtId="0" fontId="16" fillId="3" borderId="69" xfId="0" applyFont="1" applyFill="1" applyBorder="1" applyAlignment="1">
      <alignment horizontal="center" vertical="center"/>
    </xf>
    <xf numFmtId="0" fontId="10" fillId="3" borderId="52" xfId="0" applyFont="1" applyFill="1" applyBorder="1" applyAlignment="1">
      <alignment horizontal="center" vertical="center"/>
    </xf>
    <xf numFmtId="0" fontId="8" fillId="3" borderId="70" xfId="0" applyFont="1" applyFill="1" applyBorder="1" applyAlignment="1">
      <alignment horizontal="center" vertical="center"/>
    </xf>
    <xf numFmtId="0" fontId="16" fillId="2" borderId="3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6" fillId="0" borderId="37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/>
    </xf>
    <xf numFmtId="0" fontId="16" fillId="0" borderId="23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8" fillId="0" borderId="45" xfId="0" applyFont="1" applyFill="1" applyBorder="1" applyAlignment="1">
      <alignment horizontal="center" vertical="center" wrapText="1"/>
    </xf>
    <xf numFmtId="0" fontId="63" fillId="13" borderId="29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0" fillId="0" borderId="2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6" fillId="0" borderId="55" xfId="0" applyFont="1" applyFill="1" applyBorder="1" applyAlignment="1">
      <alignment horizontal="center" vertical="center"/>
    </xf>
    <xf numFmtId="0" fontId="10" fillId="0" borderId="28" xfId="0" applyNumberFormat="1" applyFont="1" applyFill="1" applyBorder="1" applyAlignment="1">
      <alignment horizontal="center" vertical="center"/>
    </xf>
    <xf numFmtId="0" fontId="8" fillId="0" borderId="29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6" fillId="0" borderId="32" xfId="0" applyFont="1" applyFill="1" applyBorder="1" applyAlignment="1">
      <alignment horizontal="center" vertical="center"/>
    </xf>
    <xf numFmtId="0" fontId="10" fillId="0" borderId="41" xfId="0" applyFont="1" applyFill="1" applyBorder="1" applyAlignment="1">
      <alignment horizontal="center" vertical="center" wrapText="1"/>
    </xf>
    <xf numFmtId="0" fontId="8" fillId="0" borderId="47" xfId="0" applyFont="1" applyFill="1" applyBorder="1" applyAlignment="1">
      <alignment horizontal="center" vertical="center"/>
    </xf>
    <xf numFmtId="0" fontId="8" fillId="0" borderId="70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 wrapText="1"/>
    </xf>
    <xf numFmtId="0" fontId="8" fillId="0" borderId="44" xfId="0" applyFont="1" applyFill="1" applyBorder="1" applyAlignment="1">
      <alignment horizontal="center" vertical="center" wrapText="1"/>
    </xf>
    <xf numFmtId="0" fontId="8" fillId="0" borderId="46" xfId="0" applyFont="1" applyFill="1" applyBorder="1" applyAlignment="1">
      <alignment horizontal="center" vertical="center"/>
    </xf>
    <xf numFmtId="0" fontId="16" fillId="0" borderId="43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10" fillId="0" borderId="71" xfId="0" applyFont="1" applyFill="1" applyBorder="1" applyAlignment="1">
      <alignment horizontal="center" vertical="center"/>
    </xf>
    <xf numFmtId="0" fontId="10" fillId="0" borderId="72" xfId="0" applyFont="1" applyFill="1" applyBorder="1" applyAlignment="1">
      <alignment horizontal="center" vertical="center" wrapText="1"/>
    </xf>
    <xf numFmtId="0" fontId="10" fillId="0" borderId="70" xfId="0" applyFont="1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16" fillId="0" borderId="71" xfId="0" applyFont="1" applyFill="1" applyBorder="1" applyAlignment="1">
      <alignment horizontal="center" vertical="center"/>
    </xf>
    <xf numFmtId="0" fontId="16" fillId="0" borderId="37" xfId="0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 wrapText="1"/>
    </xf>
    <xf numFmtId="0" fontId="16" fillId="6" borderId="49" xfId="0" applyFont="1" applyFill="1" applyBorder="1" applyAlignment="1">
      <alignment horizontal="center" vertical="center"/>
    </xf>
    <xf numFmtId="0" fontId="16" fillId="6" borderId="58" xfId="0" applyFont="1" applyFill="1" applyBorder="1" applyAlignment="1">
      <alignment horizontal="center" vertical="center"/>
    </xf>
    <xf numFmtId="0" fontId="16" fillId="6" borderId="49" xfId="0" applyFont="1" applyFill="1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 wrapText="1"/>
    </xf>
    <xf numFmtId="0" fontId="16" fillId="6" borderId="57" xfId="0" applyFont="1" applyFill="1" applyBorder="1" applyAlignment="1">
      <alignment horizontal="center" vertical="center"/>
    </xf>
    <xf numFmtId="0" fontId="16" fillId="6" borderId="64" xfId="0" applyFont="1" applyFill="1" applyBorder="1" applyAlignment="1">
      <alignment horizontal="center" vertical="center" wrapText="1"/>
    </xf>
    <xf numFmtId="0" fontId="16" fillId="6" borderId="59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/>
    </xf>
    <xf numFmtId="0" fontId="10" fillId="0" borderId="73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10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/>
    </xf>
    <xf numFmtId="0" fontId="10" fillId="0" borderId="42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10" fillId="0" borderId="51" xfId="0" applyFont="1" applyFill="1" applyBorder="1" applyAlignment="1">
      <alignment horizontal="center" vertical="center" wrapText="1"/>
    </xf>
    <xf numFmtId="0" fontId="10" fillId="0" borderId="68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/>
    </xf>
    <xf numFmtId="0" fontId="10" fillId="0" borderId="25" xfId="0" applyFont="1" applyFill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 wrapText="1"/>
    </xf>
    <xf numFmtId="0" fontId="16" fillId="7" borderId="36" xfId="0" applyFont="1" applyFill="1" applyBorder="1" applyAlignment="1">
      <alignment horizontal="center" vertical="center"/>
    </xf>
    <xf numFmtId="0" fontId="10" fillId="7" borderId="20" xfId="0" applyNumberFormat="1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16" fillId="7" borderId="36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8" fillId="7" borderId="44" xfId="0" applyFont="1" applyFill="1" applyBorder="1" applyAlignment="1">
      <alignment horizontal="center" vertical="center" wrapText="1"/>
    </xf>
    <xf numFmtId="0" fontId="16" fillId="7" borderId="55" xfId="0" applyFont="1" applyFill="1" applyBorder="1" applyAlignment="1">
      <alignment horizontal="center" vertical="center"/>
    </xf>
    <xf numFmtId="0" fontId="10" fillId="7" borderId="28" xfId="0" applyNumberFormat="1" applyFont="1" applyFill="1" applyBorder="1" applyAlignment="1">
      <alignment horizontal="center" vertical="center"/>
    </xf>
    <xf numFmtId="0" fontId="8" fillId="7" borderId="29" xfId="0" quotePrefix="1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24" xfId="0" applyFont="1" applyFill="1" applyBorder="1" applyAlignment="1">
      <alignment horizontal="center" vertical="center"/>
    </xf>
    <xf numFmtId="0" fontId="5" fillId="6" borderId="42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/>
    </xf>
    <xf numFmtId="0" fontId="5" fillId="7" borderId="51" xfId="0" applyFont="1" applyFill="1" applyBorder="1" applyAlignment="1">
      <alignment horizontal="center" vertical="center"/>
    </xf>
    <xf numFmtId="0" fontId="10" fillId="6" borderId="25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 wrapText="1"/>
    </xf>
    <xf numFmtId="0" fontId="8" fillId="7" borderId="24" xfId="0" applyFont="1" applyFill="1" applyBorder="1" applyAlignment="1">
      <alignment horizontal="center" vertical="center"/>
    </xf>
    <xf numFmtId="0" fontId="16" fillId="0" borderId="71" xfId="0" applyFont="1" applyFill="1" applyBorder="1" applyAlignment="1">
      <alignment horizontal="center" vertical="center" wrapText="1"/>
    </xf>
    <xf numFmtId="0" fontId="8" fillId="0" borderId="70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0" fillId="0" borderId="74" xfId="0" applyFont="1" applyFill="1" applyBorder="1" applyAlignment="1">
      <alignment horizontal="center" vertical="center" wrapText="1"/>
    </xf>
    <xf numFmtId="0" fontId="8" fillId="0" borderId="54" xfId="0" applyFont="1" applyFill="1" applyBorder="1" applyAlignment="1">
      <alignment horizontal="center" vertical="center" wrapText="1"/>
    </xf>
    <xf numFmtId="0" fontId="16" fillId="12" borderId="36" xfId="0" applyFont="1" applyFill="1" applyBorder="1" applyAlignment="1">
      <alignment horizontal="center" vertical="center"/>
    </xf>
    <xf numFmtId="0" fontId="10" fillId="12" borderId="20" xfId="0" applyNumberFormat="1" applyFont="1" applyFill="1" applyBorder="1" applyAlignment="1">
      <alignment horizontal="center" vertical="center"/>
    </xf>
    <xf numFmtId="0" fontId="8" fillId="12" borderId="10" xfId="0" applyFont="1" applyFill="1" applyBorder="1" applyAlignment="1">
      <alignment horizontal="center" vertical="center"/>
    </xf>
    <xf numFmtId="0" fontId="16" fillId="12" borderId="8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 wrapText="1"/>
    </xf>
    <xf numFmtId="0" fontId="16" fillId="12" borderId="55" xfId="0" applyFont="1" applyFill="1" applyBorder="1" applyAlignment="1">
      <alignment horizontal="center" vertical="center"/>
    </xf>
    <xf numFmtId="0" fontId="10" fillId="12" borderId="28" xfId="0" applyNumberFormat="1" applyFont="1" applyFill="1" applyBorder="1" applyAlignment="1">
      <alignment horizontal="center" vertical="center"/>
    </xf>
    <xf numFmtId="0" fontId="8" fillId="12" borderId="29" xfId="0" quotePrefix="1" applyFont="1" applyFill="1" applyBorder="1" applyAlignment="1">
      <alignment horizontal="center" vertical="center"/>
    </xf>
    <xf numFmtId="0" fontId="16" fillId="12" borderId="43" xfId="0" applyFont="1" applyFill="1" applyBorder="1" applyAlignment="1">
      <alignment horizontal="center" vertical="center" wrapText="1"/>
    </xf>
    <xf numFmtId="0" fontId="10" fillId="12" borderId="41" xfId="0" applyFont="1" applyFill="1" applyBorder="1" applyAlignment="1">
      <alignment horizontal="center" vertical="center" wrapText="1"/>
    </xf>
    <xf numFmtId="0" fontId="8" fillId="12" borderId="11" xfId="0" applyFont="1" applyFill="1" applyBorder="1" applyAlignment="1">
      <alignment horizontal="center" vertical="center" wrapText="1"/>
    </xf>
    <xf numFmtId="0" fontId="16" fillId="12" borderId="36" xfId="0" applyFont="1" applyFill="1" applyBorder="1" applyAlignment="1">
      <alignment horizontal="center" vertical="center" wrapText="1"/>
    </xf>
    <xf numFmtId="0" fontId="8" fillId="12" borderId="44" xfId="0" applyFont="1" applyFill="1" applyBorder="1" applyAlignment="1">
      <alignment horizontal="center" vertical="center" wrapText="1"/>
    </xf>
    <xf numFmtId="0" fontId="8" fillId="7" borderId="46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23" xfId="0" applyFont="1" applyFill="1" applyBorder="1" applyAlignment="1">
      <alignment horizontal="center" vertical="center" wrapText="1"/>
    </xf>
    <xf numFmtId="0" fontId="8" fillId="7" borderId="45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/>
    </xf>
    <xf numFmtId="0" fontId="10" fillId="6" borderId="42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4" fillId="3" borderId="36" xfId="0" applyFont="1" applyFill="1" applyBorder="1" applyAlignment="1">
      <alignment horizontal="center" vertical="center"/>
    </xf>
    <xf numFmtId="0" fontId="15" fillId="3" borderId="44" xfId="0" applyFont="1" applyFill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vertical="center"/>
    </xf>
    <xf numFmtId="0" fontId="12" fillId="3" borderId="10" xfId="0" applyFont="1" applyFill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25" fillId="5" borderId="4" xfId="0" applyFont="1" applyFill="1" applyBorder="1" applyAlignment="1">
      <alignment horizontal="center" vertical="center"/>
    </xf>
    <xf numFmtId="0" fontId="26" fillId="5" borderId="31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74" fillId="2" borderId="0" xfId="0" applyFont="1" applyFill="1" applyAlignment="1">
      <alignment horizontal="center" vertical="center"/>
    </xf>
    <xf numFmtId="0" fontId="85" fillId="2" borderId="0" xfId="0" applyFont="1" applyFill="1" applyAlignment="1">
      <alignment horizontal="right" vertical="center"/>
    </xf>
    <xf numFmtId="0" fontId="89" fillId="2" borderId="0" xfId="0" applyFont="1" applyFill="1" applyAlignment="1">
      <alignment horizontal="right" vertical="center"/>
    </xf>
    <xf numFmtId="0" fontId="72" fillId="2" borderId="0" xfId="0" applyFont="1" applyFill="1" applyAlignment="1">
      <alignment horizontal="center" vertical="center"/>
    </xf>
    <xf numFmtId="0" fontId="91" fillId="2" borderId="0" xfId="0" applyFont="1" applyFill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88" fillId="0" borderId="67" xfId="0" applyFont="1" applyBorder="1" applyAlignment="1">
      <alignment horizontal="center" vertical="center"/>
    </xf>
    <xf numFmtId="0" fontId="88" fillId="0" borderId="66" xfId="0" applyFont="1" applyBorder="1" applyAlignment="1">
      <alignment horizontal="center" vertical="center"/>
    </xf>
    <xf numFmtId="0" fontId="88" fillId="0" borderId="40" xfId="0" applyFont="1" applyBorder="1" applyAlignment="1">
      <alignment horizontal="center" vertical="center"/>
    </xf>
    <xf numFmtId="4" fontId="5" fillId="4" borderId="4" xfId="0" applyNumberFormat="1" applyFont="1" applyFill="1" applyBorder="1" applyAlignment="1">
      <alignment vertical="center"/>
    </xf>
    <xf numFmtId="4" fontId="5" fillId="4" borderId="56" xfId="0" applyNumberFormat="1" applyFont="1" applyFill="1" applyBorder="1" applyAlignment="1">
      <alignment vertical="center"/>
    </xf>
    <xf numFmtId="4" fontId="5" fillId="4" borderId="31" xfId="0" applyNumberFormat="1" applyFont="1" applyFill="1" applyBorder="1" applyAlignment="1">
      <alignment vertical="center"/>
    </xf>
    <xf numFmtId="0" fontId="88" fillId="0" borderId="8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87" fillId="0" borderId="56" xfId="0" applyFont="1" applyBorder="1" applyAlignment="1">
      <alignment vertical="center"/>
    </xf>
    <xf numFmtId="0" fontId="87" fillId="0" borderId="31" xfId="0" applyFont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2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5" fillId="4" borderId="44" xfId="0" applyFont="1" applyFill="1" applyBorder="1" applyAlignment="1">
      <alignment horizontal="center" vertical="center" wrapText="1"/>
    </xf>
    <xf numFmtId="0" fontId="59" fillId="0" borderId="47" xfId="0" applyFont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 textRotation="1" wrapText="1"/>
    </xf>
    <xf numFmtId="0" fontId="6" fillId="12" borderId="56" xfId="0" applyFont="1" applyFill="1" applyBorder="1" applyAlignment="1">
      <alignment horizontal="center" vertical="center" textRotation="1" wrapText="1"/>
    </xf>
    <xf numFmtId="0" fontId="55" fillId="12" borderId="31" xfId="0" applyFont="1" applyFill="1" applyBorder="1" applyAlignment="1">
      <alignment horizontal="center" vertical="center" textRotation="1" wrapText="1"/>
    </xf>
    <xf numFmtId="0" fontId="5" fillId="2" borderId="55" xfId="0" applyFont="1" applyFill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 textRotation="1" wrapText="1"/>
    </xf>
    <xf numFmtId="0" fontId="6" fillId="11" borderId="56" xfId="0" applyFont="1" applyFill="1" applyBorder="1" applyAlignment="1">
      <alignment horizontal="center" vertical="center" textRotation="1" wrapText="1"/>
    </xf>
    <xf numFmtId="0" fontId="55" fillId="11" borderId="31" xfId="0" applyFont="1" applyFill="1" applyBorder="1" applyAlignment="1">
      <alignment horizontal="center" vertical="center" textRotation="1" wrapText="1"/>
    </xf>
    <xf numFmtId="2" fontId="5" fillId="2" borderId="54" xfId="0" applyNumberFormat="1" applyFont="1" applyFill="1" applyBorder="1" applyAlignment="1">
      <alignment horizontal="center" vertical="center" textRotation="255"/>
    </xf>
    <xf numFmtId="2" fontId="59" fillId="0" borderId="54" xfId="0" applyNumberFormat="1" applyFont="1" applyBorder="1" applyAlignment="1">
      <alignment horizontal="center" vertical="center" textRotation="255"/>
    </xf>
    <xf numFmtId="0" fontId="5" fillId="2" borderId="37" xfId="0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 wrapText="1"/>
    </xf>
    <xf numFmtId="0" fontId="51" fillId="0" borderId="27" xfId="0" applyFont="1" applyBorder="1" applyAlignment="1">
      <alignment horizontal="center" vertical="center"/>
    </xf>
    <xf numFmtId="0" fontId="39" fillId="7" borderId="1" xfId="0" applyFont="1" applyFill="1" applyBorder="1" applyAlignment="1">
      <alignment horizontal="center" vertical="center"/>
    </xf>
    <xf numFmtId="0" fontId="0" fillId="7" borderId="53" xfId="0" applyFont="1" applyFill="1" applyBorder="1" applyAlignment="1">
      <alignment vertical="center"/>
    </xf>
    <xf numFmtId="0" fontId="23" fillId="7" borderId="43" xfId="0" applyFont="1" applyFill="1" applyBorder="1" applyAlignment="1">
      <alignment horizontal="center" vertical="center"/>
    </xf>
    <xf numFmtId="0" fontId="0" fillId="7" borderId="33" xfId="0" applyFont="1" applyFill="1" applyBorder="1" applyAlignment="1">
      <alignment vertical="center"/>
    </xf>
    <xf numFmtId="0" fontId="33" fillId="5" borderId="53" xfId="0" applyFont="1" applyFill="1" applyBorder="1" applyAlignment="1">
      <alignment horizontal="center" vertical="center"/>
    </xf>
    <xf numFmtId="0" fontId="33" fillId="5" borderId="2" xfId="0" applyFont="1" applyFill="1" applyBorder="1" applyAlignment="1">
      <alignment horizontal="center" vertical="center"/>
    </xf>
    <xf numFmtId="0" fontId="33" fillId="5" borderId="33" xfId="0" applyFont="1" applyFill="1" applyBorder="1" applyAlignment="1">
      <alignment horizontal="center" vertical="center"/>
    </xf>
    <xf numFmtId="0" fontId="33" fillId="5" borderId="11" xfId="0" applyFont="1" applyFill="1" applyBorder="1" applyAlignment="1">
      <alignment horizontal="center" vertical="center"/>
    </xf>
    <xf numFmtId="0" fontId="30" fillId="5" borderId="53" xfId="0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/>
    </xf>
    <xf numFmtId="0" fontId="30" fillId="5" borderId="33" xfId="0" applyFont="1" applyFill="1" applyBorder="1" applyAlignment="1">
      <alignment horizontal="center" vertical="center"/>
    </xf>
    <xf numFmtId="0" fontId="30" fillId="5" borderId="11" xfId="0" applyFont="1" applyFill="1" applyBorder="1" applyAlignment="1">
      <alignment horizontal="center" vertical="center"/>
    </xf>
    <xf numFmtId="0" fontId="62" fillId="2" borderId="54" xfId="0" applyFont="1" applyFill="1" applyBorder="1" applyAlignment="1">
      <alignment horizontal="center" vertical="center"/>
    </xf>
    <xf numFmtId="0" fontId="62" fillId="0" borderId="54" xfId="0" applyFont="1" applyBorder="1" applyAlignment="1">
      <alignment horizontal="center" vertical="center"/>
    </xf>
    <xf numFmtId="0" fontId="64" fillId="2" borderId="55" xfId="0" applyFont="1" applyFill="1" applyBorder="1" applyAlignment="1">
      <alignment horizontal="center" vertical="center" wrapText="1"/>
    </xf>
    <xf numFmtId="0" fontId="65" fillId="0" borderId="58" xfId="0" applyFont="1" applyBorder="1" applyAlignment="1">
      <alignment horizontal="center" vertical="center"/>
    </xf>
    <xf numFmtId="0" fontId="65" fillId="0" borderId="30" xfId="0" applyFont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0" fontId="35" fillId="0" borderId="53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8" borderId="43" xfId="0" applyFont="1" applyFill="1" applyBorder="1" applyAlignment="1">
      <alignment horizontal="center" vertical="center"/>
    </xf>
    <xf numFmtId="0" fontId="35" fillId="0" borderId="33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61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2" fillId="2" borderId="0" xfId="0" applyFont="1" applyFill="1" applyBorder="1" applyAlignment="1">
      <alignment horizontal="center" vertical="center"/>
    </xf>
    <xf numFmtId="0" fontId="62" fillId="0" borderId="0" xfId="0" applyFont="1" applyBorder="1" applyAlignment="1">
      <alignment horizontal="center" vertical="center"/>
    </xf>
    <xf numFmtId="0" fontId="2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6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76" fillId="2" borderId="0" xfId="0" applyFont="1" applyFill="1" applyAlignment="1">
      <alignment horizontal="center" vertical="center"/>
    </xf>
    <xf numFmtId="0" fontId="40" fillId="9" borderId="1" xfId="0" applyFont="1" applyFill="1" applyBorder="1" applyAlignment="1">
      <alignment vertical="center"/>
    </xf>
    <xf numFmtId="0" fontId="40" fillId="9" borderId="61" xfId="0" applyFont="1" applyFill="1" applyBorder="1" applyAlignment="1">
      <alignment vertical="center"/>
    </xf>
    <xf numFmtId="0" fontId="40" fillId="9" borderId="3" xfId="0" applyFont="1" applyFill="1" applyBorder="1" applyAlignment="1">
      <alignment vertical="center"/>
    </xf>
    <xf numFmtId="0" fontId="40" fillId="9" borderId="60" xfId="0" applyFont="1" applyFill="1" applyBorder="1" applyAlignment="1">
      <alignment vertical="center"/>
    </xf>
    <xf numFmtId="0" fontId="0" fillId="9" borderId="43" xfId="0" applyFill="1" applyBorder="1" applyAlignment="1">
      <alignment vertical="center"/>
    </xf>
    <xf numFmtId="0" fontId="0" fillId="9" borderId="62" xfId="0" applyFill="1" applyBorder="1" applyAlignment="1">
      <alignment vertical="center"/>
    </xf>
    <xf numFmtId="0" fontId="3" fillId="2" borderId="20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40" fillId="9" borderId="7" xfId="0" applyFont="1" applyFill="1" applyBorder="1" applyAlignment="1">
      <alignment vertical="center"/>
    </xf>
    <xf numFmtId="0" fontId="40" fillId="9" borderId="48" xfId="0" applyFont="1" applyFill="1" applyBorder="1" applyAlignment="1">
      <alignment vertical="center"/>
    </xf>
    <xf numFmtId="0" fontId="9" fillId="2" borderId="20" xfId="0" applyFont="1" applyFill="1" applyBorder="1" applyAlignment="1">
      <alignment horizontal="center" vertical="center"/>
    </xf>
    <xf numFmtId="0" fontId="29" fillId="2" borderId="44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left" vertical="center"/>
    </xf>
    <xf numFmtId="0" fontId="0" fillId="2" borderId="58" xfId="0" applyFill="1" applyBorder="1" applyAlignment="1">
      <alignment horizontal="left" vertical="center"/>
    </xf>
    <xf numFmtId="0" fontId="9" fillId="2" borderId="28" xfId="0" applyFont="1" applyFill="1" applyBorder="1" applyAlignment="1">
      <alignment horizontal="center" vertical="center"/>
    </xf>
    <xf numFmtId="0" fontId="29" fillId="2" borderId="4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 vertical="center"/>
    </xf>
    <xf numFmtId="0" fontId="0" fillId="2" borderId="59" xfId="0" applyFill="1" applyBorder="1" applyAlignment="1">
      <alignment horizontal="left" vertical="center"/>
    </xf>
    <xf numFmtId="0" fontId="9" fillId="2" borderId="14" xfId="0" applyFont="1" applyFill="1" applyBorder="1" applyAlignment="1">
      <alignment horizontal="center" vertical="center"/>
    </xf>
    <xf numFmtId="0" fontId="29" fillId="2" borderId="47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51" fillId="2" borderId="3" xfId="0" applyFont="1" applyFill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62" fillId="2" borderId="54" xfId="0" applyNumberFormat="1" applyFont="1" applyFill="1" applyBorder="1" applyAlignment="1">
      <alignment horizontal="center" vertical="center"/>
    </xf>
    <xf numFmtId="9" fontId="62" fillId="0" borderId="54" xfId="0" applyNumberFormat="1" applyFont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 wrapText="1"/>
    </xf>
    <xf numFmtId="164" fontId="53" fillId="2" borderId="0" xfId="0" applyNumberFormat="1" applyFont="1" applyFill="1" applyBorder="1" applyAlignment="1">
      <alignment horizontal="center" vertical="center"/>
    </xf>
    <xf numFmtId="164" fontId="20" fillId="0" borderId="0" xfId="0" applyNumberFormat="1" applyFont="1" applyBorder="1" applyAlignment="1">
      <alignment horizontal="center" vertical="center"/>
    </xf>
    <xf numFmtId="0" fontId="52" fillId="2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45" fillId="10" borderId="7" xfId="0" applyFont="1" applyFill="1" applyBorder="1" applyAlignment="1">
      <alignment horizontal="center" vertical="center"/>
    </xf>
    <xf numFmtId="0" fontId="45" fillId="10" borderId="5" xfId="0" applyFont="1" applyFill="1" applyBorder="1" applyAlignment="1">
      <alignment horizontal="center" vertical="center"/>
    </xf>
    <xf numFmtId="0" fontId="45" fillId="10" borderId="6" xfId="0" applyFont="1" applyFill="1" applyBorder="1" applyAlignment="1">
      <alignment horizontal="center" vertical="center"/>
    </xf>
    <xf numFmtId="164" fontId="53" fillId="2" borderId="56" xfId="0" applyNumberFormat="1" applyFont="1" applyFill="1" applyBorder="1" applyAlignment="1">
      <alignment horizontal="center" vertical="center"/>
    </xf>
    <xf numFmtId="164" fontId="20" fillId="0" borderId="56" xfId="0" applyNumberFormat="1" applyFont="1" applyBorder="1" applyAlignment="1">
      <alignment horizontal="center" vertical="center"/>
    </xf>
    <xf numFmtId="0" fontId="68" fillId="2" borderId="5" xfId="0" applyFont="1" applyFill="1" applyBorder="1" applyAlignment="1">
      <alignment horizontal="center" vertical="center"/>
    </xf>
    <xf numFmtId="0" fontId="66" fillId="2" borderId="5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57" fillId="5" borderId="1" xfId="0" applyFont="1" applyFill="1" applyBorder="1" applyAlignment="1">
      <alignment horizontal="right" vertical="center"/>
    </xf>
    <xf numFmtId="0" fontId="0" fillId="0" borderId="53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55" xfId="0" applyFont="1" applyFill="1" applyBorder="1" applyAlignment="1">
      <alignment horizontal="left" vertical="center"/>
    </xf>
    <xf numFmtId="0" fontId="43" fillId="2" borderId="3" xfId="0" applyFont="1" applyFill="1" applyBorder="1" applyAlignment="1">
      <alignment vertical="center"/>
    </xf>
    <xf numFmtId="0" fontId="40" fillId="9" borderId="43" xfId="0" applyFont="1" applyFill="1" applyBorder="1" applyAlignment="1">
      <alignment vertical="center"/>
    </xf>
    <xf numFmtId="0" fontId="40" fillId="9" borderId="62" xfId="0" applyFont="1" applyFill="1" applyBorder="1" applyAlignment="1">
      <alignment vertical="center"/>
    </xf>
    <xf numFmtId="3" fontId="9" fillId="2" borderId="14" xfId="0" applyNumberFormat="1" applyFont="1" applyFill="1" applyBorder="1" applyAlignment="1">
      <alignment horizontal="center" vertical="center"/>
    </xf>
    <xf numFmtId="0" fontId="64" fillId="2" borderId="36" xfId="0" applyFont="1" applyFill="1" applyBorder="1" applyAlignment="1">
      <alignment horizontal="center" vertical="center" wrapText="1"/>
    </xf>
    <xf numFmtId="0" fontId="65" fillId="0" borderId="49" xfId="0" applyFont="1" applyBorder="1" applyAlignment="1">
      <alignment horizontal="center" vertical="center"/>
    </xf>
    <xf numFmtId="0" fontId="65" fillId="0" borderId="57" xfId="0" applyFont="1" applyBorder="1" applyAlignment="1">
      <alignment horizontal="center" vertical="center"/>
    </xf>
    <xf numFmtId="0" fontId="65" fillId="2" borderId="58" xfId="0" applyFont="1" applyFill="1" applyBorder="1" applyAlignment="1">
      <alignment horizontal="center" vertical="center"/>
    </xf>
    <xf numFmtId="0" fontId="65" fillId="2" borderId="30" xfId="0" applyFont="1" applyFill="1" applyBorder="1" applyAlignment="1">
      <alignment horizontal="center" vertical="center"/>
    </xf>
    <xf numFmtId="0" fontId="47" fillId="2" borderId="0" xfId="0" applyFont="1" applyFill="1" applyBorder="1" applyAlignment="1">
      <alignment horizontal="center" vertical="center"/>
    </xf>
    <xf numFmtId="0" fontId="48" fillId="2" borderId="0" xfId="0" applyFont="1" applyFill="1" applyBorder="1" applyAlignment="1">
      <alignment horizontal="center" vertical="center"/>
    </xf>
    <xf numFmtId="0" fontId="6" fillId="9" borderId="34" xfId="0" applyFont="1" applyFill="1" applyBorder="1" applyAlignment="1">
      <alignment horizontal="center" vertical="center"/>
    </xf>
    <xf numFmtId="0" fontId="41" fillId="9" borderId="6" xfId="0" applyFont="1" applyFill="1" applyBorder="1" applyAlignment="1">
      <alignment horizontal="center" vertical="center"/>
    </xf>
    <xf numFmtId="0" fontId="60" fillId="2" borderId="0" xfId="0" applyFont="1" applyFill="1" applyBorder="1" applyAlignment="1">
      <alignment horizontal="center" vertical="center"/>
    </xf>
    <xf numFmtId="0" fontId="60" fillId="0" borderId="0" xfId="0" applyFont="1" applyBorder="1" applyAlignment="1">
      <alignment horizontal="center" vertical="center"/>
    </xf>
    <xf numFmtId="0" fontId="3" fillId="2" borderId="32" xfId="0" applyFont="1" applyFill="1" applyBorder="1" applyAlignment="1">
      <alignment horizontal="left" vertical="center"/>
    </xf>
    <xf numFmtId="0" fontId="40" fillId="2" borderId="33" xfId="0" applyFont="1" applyFill="1" applyBorder="1" applyAlignment="1">
      <alignment horizontal="center" vertical="center"/>
    </xf>
    <xf numFmtId="0" fontId="40" fillId="0" borderId="33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9" borderId="53" xfId="0" applyFont="1" applyFill="1" applyBorder="1" applyAlignment="1">
      <alignment vertical="center"/>
    </xf>
    <xf numFmtId="0" fontId="40" fillId="9" borderId="0" xfId="0" applyFont="1" applyFill="1" applyBorder="1" applyAlignment="1">
      <alignment vertical="center"/>
    </xf>
    <xf numFmtId="0" fontId="0" fillId="9" borderId="33" xfId="0" applyFill="1" applyBorder="1" applyAlignment="1">
      <alignment vertical="center"/>
    </xf>
    <xf numFmtId="9" fontId="60" fillId="2" borderId="54" xfId="0" applyNumberFormat="1" applyFont="1" applyFill="1" applyBorder="1" applyAlignment="1">
      <alignment horizontal="center" vertical="center"/>
    </xf>
    <xf numFmtId="9" fontId="60" fillId="0" borderId="54" xfId="0" applyNumberFormat="1" applyFont="1" applyBorder="1" applyAlignment="1">
      <alignment horizontal="center" vertical="center"/>
    </xf>
    <xf numFmtId="0" fontId="20" fillId="2" borderId="33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64" fillId="2" borderId="37" xfId="0" applyFont="1" applyFill="1" applyBorder="1" applyAlignment="1">
      <alignment horizontal="center" vertical="center" wrapText="1"/>
    </xf>
    <xf numFmtId="0" fontId="65" fillId="0" borderId="27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51" fillId="2" borderId="9" xfId="0" applyFont="1" applyFill="1" applyBorder="1" applyAlignment="1">
      <alignment horizontal="center" vertical="center"/>
    </xf>
    <xf numFmtId="0" fontId="51" fillId="2" borderId="27" xfId="0" applyFont="1" applyFill="1" applyBorder="1" applyAlignment="1">
      <alignment horizontal="center" vertical="center"/>
    </xf>
    <xf numFmtId="0" fontId="65" fillId="2" borderId="27" xfId="0" applyFont="1" applyFill="1" applyBorder="1" applyAlignment="1">
      <alignment horizontal="center" vertical="center"/>
    </xf>
    <xf numFmtId="0" fontId="31" fillId="0" borderId="54" xfId="0" applyFont="1" applyBorder="1" applyAlignment="1">
      <alignment horizontal="center" vertical="center"/>
    </xf>
    <xf numFmtId="0" fontId="5" fillId="2" borderId="58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64" fillId="2" borderId="58" xfId="0" applyFont="1" applyFill="1" applyBorder="1" applyAlignment="1">
      <alignment horizontal="center" vertical="center" wrapText="1"/>
    </xf>
    <xf numFmtId="0" fontId="64" fillId="2" borderId="30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9" fillId="0" borderId="53" xfId="0" applyFont="1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2" xfId="0" applyBorder="1" applyAlignment="1">
      <alignment vertical="center"/>
    </xf>
    <xf numFmtId="0" fontId="5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/>
    </xf>
    <xf numFmtId="0" fontId="37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2" fontId="5" fillId="2" borderId="2" xfId="0" applyNumberFormat="1" applyFont="1" applyFill="1" applyBorder="1" applyAlignment="1">
      <alignment horizontal="center" vertical="center" textRotation="255"/>
    </xf>
    <xf numFmtId="0" fontId="82" fillId="2" borderId="55" xfId="0" applyFont="1" applyFill="1" applyBorder="1" applyAlignment="1">
      <alignment horizontal="center" vertical="center"/>
    </xf>
    <xf numFmtId="0" fontId="78" fillId="0" borderId="30" xfId="0" applyFont="1" applyBorder="1" applyAlignment="1">
      <alignment horizontal="center" vertical="center"/>
    </xf>
    <xf numFmtId="0" fontId="82" fillId="2" borderId="32" xfId="0" applyFont="1" applyFill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/>
    </xf>
    <xf numFmtId="0" fontId="38" fillId="0" borderId="0" xfId="0" applyFont="1" applyAlignment="1">
      <alignment horizontal="center"/>
    </xf>
    <xf numFmtId="0" fontId="82" fillId="3" borderId="7" xfId="0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82" fillId="3" borderId="3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2" fillId="2" borderId="36" xfId="0" applyFont="1" applyFill="1" applyBorder="1" applyAlignment="1">
      <alignment horizontal="center" vertical="center"/>
    </xf>
    <xf numFmtId="0" fontId="78" fillId="0" borderId="57" xfId="0" applyFont="1" applyBorder="1" applyAlignment="1">
      <alignment horizontal="center" vertical="center"/>
    </xf>
    <xf numFmtId="0" fontId="50" fillId="2" borderId="0" xfId="0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166" fontId="75" fillId="4" borderId="48" xfId="0" applyNumberFormat="1" applyFont="1" applyFill="1" applyBorder="1" applyAlignment="1">
      <alignment horizontal="center" vertical="center"/>
    </xf>
    <xf numFmtId="166" fontId="0" fillId="4" borderId="63" xfId="0" applyNumberFormat="1" applyFont="1" applyFill="1" applyBorder="1" applyAlignment="1">
      <alignment horizontal="center" vertical="center"/>
    </xf>
    <xf numFmtId="0" fontId="75" fillId="4" borderId="7" xfId="0" applyFont="1" applyFill="1" applyBorder="1" applyAlignment="1">
      <alignment horizontal="center" vertical="center"/>
    </xf>
    <xf numFmtId="165" fontId="4" fillId="2" borderId="33" xfId="0" applyNumberFormat="1" applyFont="1" applyFill="1" applyBorder="1" applyAlignment="1">
      <alignment horizontal="left" vertical="center"/>
    </xf>
    <xf numFmtId="0" fontId="84" fillId="0" borderId="33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indent="1"/>
    </xf>
    <xf numFmtId="0" fontId="6" fillId="2" borderId="12" xfId="0" applyFont="1" applyFill="1" applyBorder="1" applyAlignment="1">
      <alignment horizontal="left" vertical="center" indent="1"/>
    </xf>
    <xf numFmtId="0" fontId="6" fillId="2" borderId="40" xfId="0" applyFont="1" applyFill="1" applyBorder="1" applyAlignment="1">
      <alignment horizontal="left" vertical="center" indent="1"/>
    </xf>
    <xf numFmtId="0" fontId="6" fillId="0" borderId="8" xfId="0" applyFont="1" applyBorder="1" applyAlignment="1">
      <alignment horizontal="left" vertical="center" indent="1"/>
    </xf>
    <xf numFmtId="0" fontId="6" fillId="0" borderId="12" xfId="0" applyFont="1" applyBorder="1" applyAlignment="1">
      <alignment horizontal="left" vertical="center" indent="1"/>
    </xf>
    <xf numFmtId="0" fontId="86" fillId="0" borderId="0" xfId="0" applyFont="1" applyAlignment="1">
      <alignment horizontal="center" vertical="center"/>
    </xf>
    <xf numFmtId="0" fontId="6" fillId="0" borderId="67" xfId="0" applyFont="1" applyBorder="1" applyAlignment="1">
      <alignment horizontal="left" vertical="center" indent="1"/>
    </xf>
    <xf numFmtId="0" fontId="6" fillId="0" borderId="40" xfId="0" applyFont="1" applyBorder="1" applyAlignment="1">
      <alignment horizontal="left" vertical="center" indent="1"/>
    </xf>
    <xf numFmtId="0" fontId="6" fillId="2" borderId="36" xfId="0" applyFont="1" applyFill="1" applyBorder="1" applyAlignment="1">
      <alignment horizontal="left" vertical="center" indent="1"/>
    </xf>
    <xf numFmtId="0" fontId="6" fillId="2" borderId="32" xfId="0" applyFont="1" applyFill="1" applyBorder="1" applyAlignment="1">
      <alignment horizontal="left" vertical="center" indent="1"/>
    </xf>
    <xf numFmtId="0" fontId="6" fillId="2" borderId="66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left" vertical="center" indent="1"/>
    </xf>
    <xf numFmtId="0" fontId="0" fillId="0" borderId="43" xfId="0" applyBorder="1" applyAlignment="1">
      <alignment horizontal="left" vertical="center" indent="1"/>
    </xf>
    <xf numFmtId="0" fontId="6" fillId="0" borderId="66" xfId="0" applyFont="1" applyBorder="1" applyAlignment="1">
      <alignment horizontal="left" vertical="center" indent="1"/>
    </xf>
    <xf numFmtId="0" fontId="6" fillId="2" borderId="67" xfId="0" applyFont="1" applyFill="1" applyBorder="1" applyAlignment="1">
      <alignment horizontal="left" vertical="center" indent="1"/>
    </xf>
    <xf numFmtId="0" fontId="0" fillId="0" borderId="40" xfId="0" applyBorder="1" applyAlignment="1">
      <alignment horizontal="left" vertical="center" indent="1"/>
    </xf>
    <xf numFmtId="0" fontId="0" fillId="0" borderId="66" xfId="0" applyBorder="1" applyAlignment="1">
      <alignment horizontal="left" vertical="center" indent="1"/>
    </xf>
    <xf numFmtId="0" fontId="6" fillId="2" borderId="37" xfId="0" applyFont="1" applyFill="1" applyBorder="1" applyAlignment="1">
      <alignment horizontal="left" vertical="center" indent="1"/>
    </xf>
    <xf numFmtId="0" fontId="0" fillId="0" borderId="37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</cellXfs>
  <cellStyles count="1">
    <cellStyle name="Normal" xfId="0" builtinId="0"/>
  </cellStyles>
  <dxfs count="38"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CFFCC"/>
      <color rgb="FF3399FF"/>
      <color rgb="FFFF00FF"/>
      <color rgb="FFFF5050"/>
      <color rgb="FFCCFFFF"/>
      <color rgb="FF0000FF"/>
      <color rgb="FFFA6F60"/>
      <color rgb="FFFE7F6A"/>
      <color rgb="FFFFFFCC"/>
      <color rgb="FFC659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ombra Extrema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48000">
              <a:schemeClr val="phClr">
                <a:tint val="54000"/>
                <a:satMod val="140000"/>
              </a:schemeClr>
            </a:gs>
            <a:gs pos="100000">
              <a:schemeClr val="phClr">
                <a:tint val="24000"/>
                <a:satMod val="260000"/>
              </a:schemeClr>
            </a:gs>
          </a:gsLst>
          <a:lin ang="1620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48000"/>
                <a:satMod val="180000"/>
                <a:lumMod val="94000"/>
              </a:schemeClr>
            </a:gs>
            <a:gs pos="100000">
              <a:schemeClr val="phClr">
                <a:shade val="48000"/>
                <a:satMod val="180000"/>
                <a:lumMod val="94000"/>
              </a:schemeClr>
            </a:gs>
          </a:gsLst>
          <a:lin ang="414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12700" dir="5400000" sx="102000" sy="102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9800000"/>
            </a:lightRig>
          </a:scene3d>
          <a:sp3d prstMaterial="plastic">
            <a:bevelT w="25400" h="19050"/>
          </a:sp3d>
        </a:effectStyle>
        <a:effectStyle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K24"/>
  <sheetViews>
    <sheetView view="pageBreakPreview" topLeftCell="A10" zoomScale="90" zoomScaleNormal="100" zoomScaleSheetLayoutView="90" workbookViewId="0">
      <selection activeCell="F24" sqref="F24"/>
    </sheetView>
  </sheetViews>
  <sheetFormatPr defaultRowHeight="30" customHeight="1" x14ac:dyDescent="0.25"/>
  <cols>
    <col min="1" max="1" width="22.7109375" style="3" customWidth="1"/>
    <col min="2" max="2" width="18.7109375" style="10" customWidth="1"/>
    <col min="3" max="4" width="15.7109375" style="3" customWidth="1"/>
    <col min="5" max="5" width="15.7109375" style="10" customWidth="1"/>
    <col min="6" max="6" width="10" style="10" customWidth="1"/>
    <col min="7" max="10" width="15.7109375" style="3" customWidth="1"/>
    <col min="11" max="11" width="15.7109375" style="10" customWidth="1"/>
    <col min="12" max="16384" width="9.140625" style="10"/>
  </cols>
  <sheetData>
    <row r="1" spans="1:11" ht="36" customHeight="1" x14ac:dyDescent="0.25">
      <c r="A1" s="462" t="s">
        <v>32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</row>
    <row r="2" spans="1:11" ht="21" customHeight="1" thickBot="1" x14ac:dyDescent="0.3">
      <c r="A2" s="473"/>
      <c r="B2" s="474"/>
      <c r="C2" s="2"/>
      <c r="D2" s="2"/>
      <c r="E2" s="11"/>
      <c r="F2" s="11"/>
      <c r="G2" s="2"/>
      <c r="H2" s="2"/>
      <c r="I2" s="2"/>
      <c r="J2" s="2"/>
      <c r="K2" s="11"/>
    </row>
    <row r="3" spans="1:11" ht="30" customHeight="1" x14ac:dyDescent="0.25">
      <c r="A3" s="464" t="s">
        <v>0</v>
      </c>
      <c r="B3" s="465"/>
      <c r="C3" s="466" t="s">
        <v>8</v>
      </c>
      <c r="D3" s="467"/>
      <c r="E3" s="468"/>
      <c r="F3" s="471" t="s">
        <v>33</v>
      </c>
      <c r="G3" s="466" t="s">
        <v>9</v>
      </c>
      <c r="H3" s="469"/>
      <c r="I3" s="466" t="s">
        <v>10</v>
      </c>
      <c r="J3" s="467"/>
      <c r="K3" s="470"/>
    </row>
    <row r="4" spans="1:11" ht="30" customHeight="1" thickBot="1" x14ac:dyDescent="0.3">
      <c r="A4" s="12" t="s">
        <v>11</v>
      </c>
      <c r="B4" s="13" t="s">
        <v>12</v>
      </c>
      <c r="C4" s="14" t="s">
        <v>13</v>
      </c>
      <c r="D4" s="15" t="s">
        <v>14</v>
      </c>
      <c r="E4" s="18" t="s">
        <v>15</v>
      </c>
      <c r="F4" s="472"/>
      <c r="G4" s="17" t="s">
        <v>13</v>
      </c>
      <c r="H4" s="18" t="s">
        <v>14</v>
      </c>
      <c r="I4" s="17" t="s">
        <v>13</v>
      </c>
      <c r="J4" s="15" t="s">
        <v>14</v>
      </c>
      <c r="K4" s="18" t="s">
        <v>15</v>
      </c>
    </row>
    <row r="5" spans="1:11" ht="30" customHeight="1" x14ac:dyDescent="0.25">
      <c r="A5" s="19">
        <v>603031000</v>
      </c>
      <c r="B5" s="20" t="s">
        <v>16</v>
      </c>
      <c r="C5" s="21">
        <v>0</v>
      </c>
      <c r="D5" s="82">
        <v>220</v>
      </c>
      <c r="E5" s="85">
        <f>C5+D5</f>
        <v>220</v>
      </c>
      <c r="F5" s="78">
        <f>D5/D10</f>
        <v>0.28460543337645539</v>
      </c>
      <c r="G5" s="19">
        <v>0</v>
      </c>
      <c r="H5" s="23">
        <v>210</v>
      </c>
      <c r="I5" s="71">
        <f t="shared" ref="I5:J9" si="0">C5-G5</f>
        <v>0</v>
      </c>
      <c r="J5" s="72">
        <f t="shared" si="0"/>
        <v>10</v>
      </c>
      <c r="K5" s="24">
        <f>I5+J5</f>
        <v>10</v>
      </c>
    </row>
    <row r="6" spans="1:11" ht="30" customHeight="1" x14ac:dyDescent="0.25">
      <c r="A6" s="25">
        <v>603032000</v>
      </c>
      <c r="B6" s="26" t="s">
        <v>17</v>
      </c>
      <c r="C6" s="27">
        <v>0</v>
      </c>
      <c r="D6" s="83">
        <v>200</v>
      </c>
      <c r="E6" s="86">
        <f>C6+D6</f>
        <v>200</v>
      </c>
      <c r="F6" s="79">
        <f>D6/D10</f>
        <v>0.25873221216041398</v>
      </c>
      <c r="G6" s="25">
        <v>0</v>
      </c>
      <c r="H6" s="29">
        <v>198</v>
      </c>
      <c r="I6" s="73">
        <f t="shared" si="0"/>
        <v>0</v>
      </c>
      <c r="J6" s="74">
        <f t="shared" si="0"/>
        <v>2</v>
      </c>
      <c r="K6" s="30">
        <f>I6+J6</f>
        <v>2</v>
      </c>
    </row>
    <row r="7" spans="1:11" ht="30" customHeight="1" x14ac:dyDescent="0.25">
      <c r="A7" s="25">
        <v>603033000</v>
      </c>
      <c r="B7" s="26" t="s">
        <v>18</v>
      </c>
      <c r="C7" s="27">
        <v>0</v>
      </c>
      <c r="D7" s="83">
        <v>100</v>
      </c>
      <c r="E7" s="86">
        <f>C7+D7</f>
        <v>100</v>
      </c>
      <c r="F7" s="79">
        <f>D7/D10</f>
        <v>0.12936610608020699</v>
      </c>
      <c r="G7" s="25">
        <v>0</v>
      </c>
      <c r="H7" s="29">
        <v>94</v>
      </c>
      <c r="I7" s="73">
        <f t="shared" si="0"/>
        <v>0</v>
      </c>
      <c r="J7" s="74">
        <f t="shared" si="0"/>
        <v>6</v>
      </c>
      <c r="K7" s="30">
        <f>I7+J7</f>
        <v>6</v>
      </c>
    </row>
    <row r="8" spans="1:11" ht="30" customHeight="1" x14ac:dyDescent="0.25">
      <c r="A8" s="25">
        <v>603036000</v>
      </c>
      <c r="B8" s="26" t="s">
        <v>19</v>
      </c>
      <c r="C8" s="27">
        <v>12</v>
      </c>
      <c r="D8" s="83">
        <v>243</v>
      </c>
      <c r="E8" s="86">
        <f>C8+D8</f>
        <v>255</v>
      </c>
      <c r="F8" s="79">
        <f>D8/D10</f>
        <v>0.314359637774903</v>
      </c>
      <c r="G8" s="25">
        <v>0</v>
      </c>
      <c r="H8" s="29">
        <v>117</v>
      </c>
      <c r="I8" s="73">
        <f t="shared" si="0"/>
        <v>12</v>
      </c>
      <c r="J8" s="74">
        <f t="shared" si="0"/>
        <v>126</v>
      </c>
      <c r="K8" s="30">
        <f>I8+J8</f>
        <v>138</v>
      </c>
    </row>
    <row r="9" spans="1:11" ht="30" customHeight="1" thickBot="1" x14ac:dyDescent="0.3">
      <c r="A9" s="31">
        <v>603039000</v>
      </c>
      <c r="B9" s="32" t="s">
        <v>20</v>
      </c>
      <c r="C9" s="68">
        <v>10</v>
      </c>
      <c r="D9" s="90">
        <v>10</v>
      </c>
      <c r="E9" s="87">
        <f>C9+D9</f>
        <v>20</v>
      </c>
      <c r="F9" s="80">
        <f>D9/D10</f>
        <v>1.2936610608020699E-2</v>
      </c>
      <c r="G9" s="31">
        <v>0</v>
      </c>
      <c r="H9" s="34">
        <v>1</v>
      </c>
      <c r="I9" s="75">
        <f t="shared" si="0"/>
        <v>10</v>
      </c>
      <c r="J9" s="76">
        <f t="shared" si="0"/>
        <v>9</v>
      </c>
      <c r="K9" s="35">
        <f>I9+J9</f>
        <v>19</v>
      </c>
    </row>
    <row r="10" spans="1:11" ht="30" customHeight="1" thickBot="1" x14ac:dyDescent="0.3">
      <c r="A10" s="6"/>
      <c r="B10" s="67"/>
      <c r="C10" s="69">
        <f>SUM(C5:C9)</f>
        <v>22</v>
      </c>
      <c r="D10" s="70">
        <f>SUM(D5:D9)</f>
        <v>773</v>
      </c>
      <c r="E10" s="47"/>
      <c r="F10" s="81">
        <f>SUM(F5:F9)</f>
        <v>1</v>
      </c>
      <c r="G10" s="6"/>
      <c r="H10" s="6"/>
      <c r="I10" s="6"/>
      <c r="J10" s="6"/>
      <c r="K10" s="47"/>
    </row>
    <row r="11" spans="1:11" ht="9.75" customHeight="1" thickBot="1" x14ac:dyDescent="0.3">
      <c r="A11" s="2"/>
      <c r="B11" s="11"/>
      <c r="C11" s="2"/>
      <c r="D11" s="2"/>
      <c r="E11" s="11"/>
      <c r="F11" s="11"/>
      <c r="G11" s="2"/>
      <c r="H11" s="2"/>
      <c r="I11" s="2"/>
      <c r="J11" s="2"/>
      <c r="K11" s="11"/>
    </row>
    <row r="12" spans="1:11" ht="30" customHeight="1" x14ac:dyDescent="0.25">
      <c r="A12" s="464" t="s">
        <v>21</v>
      </c>
      <c r="B12" s="465"/>
      <c r="C12" s="466" t="s">
        <v>8</v>
      </c>
      <c r="D12" s="467"/>
      <c r="E12" s="468"/>
      <c r="F12" s="471" t="s">
        <v>33</v>
      </c>
      <c r="G12" s="466" t="s">
        <v>9</v>
      </c>
      <c r="H12" s="469"/>
      <c r="I12" s="466" t="s">
        <v>10</v>
      </c>
      <c r="J12" s="467"/>
      <c r="K12" s="470"/>
    </row>
    <row r="13" spans="1:11" ht="30" customHeight="1" thickBot="1" x14ac:dyDescent="0.3">
      <c r="A13" s="12" t="s">
        <v>11</v>
      </c>
      <c r="B13" s="13" t="s">
        <v>12</v>
      </c>
      <c r="C13" s="14" t="s">
        <v>13</v>
      </c>
      <c r="D13" s="15" t="s">
        <v>14</v>
      </c>
      <c r="E13" s="18" t="s">
        <v>15</v>
      </c>
      <c r="F13" s="472"/>
      <c r="G13" s="17" t="s">
        <v>13</v>
      </c>
      <c r="H13" s="18" t="s">
        <v>14</v>
      </c>
      <c r="I13" s="17" t="s">
        <v>13</v>
      </c>
      <c r="J13" s="15" t="s">
        <v>14</v>
      </c>
      <c r="K13" s="18" t="s">
        <v>15</v>
      </c>
    </row>
    <row r="14" spans="1:11" ht="30" customHeight="1" x14ac:dyDescent="0.25">
      <c r="A14" s="19">
        <v>603031000</v>
      </c>
      <c r="B14" s="20" t="s">
        <v>16</v>
      </c>
      <c r="C14" s="21">
        <v>0</v>
      </c>
      <c r="D14" s="82">
        <v>170</v>
      </c>
      <c r="E14" s="85">
        <f>C14+D14</f>
        <v>170</v>
      </c>
      <c r="F14" s="78">
        <f>D14/D19</f>
        <v>0.23129251700680273</v>
      </c>
      <c r="G14" s="19">
        <v>0</v>
      </c>
      <c r="H14" s="23">
        <v>180</v>
      </c>
      <c r="I14" s="71">
        <f t="shared" ref="I14:J16" si="1">C14-G14</f>
        <v>0</v>
      </c>
      <c r="J14" s="72">
        <f t="shared" si="1"/>
        <v>-10</v>
      </c>
      <c r="K14" s="22">
        <f>I14+J14</f>
        <v>-10</v>
      </c>
    </row>
    <row r="15" spans="1:11" ht="30" customHeight="1" x14ac:dyDescent="0.25">
      <c r="A15" s="25">
        <v>603032000</v>
      </c>
      <c r="B15" s="26" t="s">
        <v>17</v>
      </c>
      <c r="C15" s="27">
        <v>0</v>
      </c>
      <c r="D15" s="83">
        <v>170</v>
      </c>
      <c r="E15" s="86">
        <f>C15+D15</f>
        <v>170</v>
      </c>
      <c r="F15" s="79">
        <f>D15/D19</f>
        <v>0.23129251700680273</v>
      </c>
      <c r="G15" s="25">
        <v>0</v>
      </c>
      <c r="H15" s="29">
        <v>160</v>
      </c>
      <c r="I15" s="73">
        <f t="shared" si="1"/>
        <v>0</v>
      </c>
      <c r="J15" s="74">
        <f t="shared" si="1"/>
        <v>10</v>
      </c>
      <c r="K15" s="28">
        <f>I15+J15</f>
        <v>10</v>
      </c>
    </row>
    <row r="16" spans="1:11" ht="30" customHeight="1" x14ac:dyDescent="0.25">
      <c r="A16" s="25">
        <v>603033000</v>
      </c>
      <c r="B16" s="26" t="s">
        <v>18</v>
      </c>
      <c r="C16" s="27">
        <v>0</v>
      </c>
      <c r="D16" s="83">
        <v>155</v>
      </c>
      <c r="E16" s="86">
        <f>C16+D16</f>
        <v>155</v>
      </c>
      <c r="F16" s="79">
        <f>D16/D19</f>
        <v>0.21088435374149661</v>
      </c>
      <c r="G16" s="25">
        <v>0</v>
      </c>
      <c r="H16" s="29">
        <v>155</v>
      </c>
      <c r="I16" s="73">
        <f t="shared" si="1"/>
        <v>0</v>
      </c>
      <c r="J16" s="74">
        <f t="shared" si="1"/>
        <v>0</v>
      </c>
      <c r="K16" s="28">
        <f>I16+J16</f>
        <v>0</v>
      </c>
    </row>
    <row r="17" spans="1:11" ht="30" customHeight="1" x14ac:dyDescent="0.25">
      <c r="A17" s="25">
        <v>603036000</v>
      </c>
      <c r="B17" s="26" t="s">
        <v>19</v>
      </c>
      <c r="C17" s="27">
        <v>0</v>
      </c>
      <c r="D17" s="83">
        <v>0</v>
      </c>
      <c r="E17" s="86">
        <f>C17+D17</f>
        <v>0</v>
      </c>
      <c r="F17" s="79">
        <f>D17/D19</f>
        <v>0</v>
      </c>
      <c r="G17" s="25">
        <v>0</v>
      </c>
      <c r="H17" s="29">
        <v>240</v>
      </c>
      <c r="I17" s="73">
        <f>C17-G17</f>
        <v>0</v>
      </c>
      <c r="J17" s="74">
        <v>0</v>
      </c>
      <c r="K17" s="28">
        <f>I17+J17</f>
        <v>0</v>
      </c>
    </row>
    <row r="18" spans="1:11" ht="30" customHeight="1" thickBot="1" x14ac:dyDescent="0.3">
      <c r="A18" s="31">
        <v>603039000</v>
      </c>
      <c r="B18" s="32" t="s">
        <v>20</v>
      </c>
      <c r="C18" s="33">
        <v>30</v>
      </c>
      <c r="D18" s="84">
        <v>240</v>
      </c>
      <c r="E18" s="87">
        <f>C18+D18</f>
        <v>270</v>
      </c>
      <c r="F18" s="80">
        <f>D18/D19</f>
        <v>0.32653061224489793</v>
      </c>
      <c r="G18" s="31">
        <v>2</v>
      </c>
      <c r="H18" s="34">
        <v>1</v>
      </c>
      <c r="I18" s="75">
        <f>C18-G18</f>
        <v>28</v>
      </c>
      <c r="J18" s="76">
        <f>D18-H18</f>
        <v>239</v>
      </c>
      <c r="K18" s="18">
        <f>I18+J18</f>
        <v>267</v>
      </c>
    </row>
    <row r="19" spans="1:11" ht="30" customHeight="1" thickBot="1" x14ac:dyDescent="0.3">
      <c r="A19" s="6"/>
      <c r="B19" s="67"/>
      <c r="C19" s="69">
        <f>SUM(C14:C18)</f>
        <v>30</v>
      </c>
      <c r="D19" s="70">
        <f>SUM(D14:D18)</f>
        <v>735</v>
      </c>
      <c r="E19" s="47"/>
      <c r="F19" s="81">
        <f>SUM(F14:F18)</f>
        <v>1</v>
      </c>
      <c r="G19" s="6"/>
      <c r="H19" s="6"/>
      <c r="I19" s="6"/>
      <c r="J19" s="6"/>
      <c r="K19" s="47"/>
    </row>
    <row r="20" spans="1:11" ht="11.25" customHeight="1" thickBot="1" x14ac:dyDescent="0.3">
      <c r="A20" s="2"/>
      <c r="B20" s="11"/>
      <c r="C20" s="2"/>
      <c r="D20" s="2"/>
      <c r="E20" s="11"/>
      <c r="F20" s="11"/>
      <c r="G20" s="2"/>
      <c r="H20" s="2"/>
      <c r="I20" s="2"/>
      <c r="J20" s="2"/>
      <c r="K20" s="11"/>
    </row>
    <row r="21" spans="1:11" ht="30" customHeight="1" x14ac:dyDescent="0.25">
      <c r="A21" s="464" t="s">
        <v>22</v>
      </c>
      <c r="B21" s="465"/>
      <c r="C21" s="466" t="s">
        <v>8</v>
      </c>
      <c r="D21" s="467"/>
      <c r="E21" s="468"/>
      <c r="F21" s="471" t="s">
        <v>33</v>
      </c>
      <c r="G21" s="466" t="s">
        <v>9</v>
      </c>
      <c r="H21" s="469"/>
      <c r="I21" s="466" t="s">
        <v>10</v>
      </c>
      <c r="J21" s="467"/>
      <c r="K21" s="470"/>
    </row>
    <row r="22" spans="1:11" ht="30" customHeight="1" thickBot="1" x14ac:dyDescent="0.3">
      <c r="A22" s="12" t="s">
        <v>11</v>
      </c>
      <c r="B22" s="13" t="s">
        <v>12</v>
      </c>
      <c r="C22" s="14" t="s">
        <v>13</v>
      </c>
      <c r="D22" s="15" t="s">
        <v>14</v>
      </c>
      <c r="E22" s="16" t="s">
        <v>15</v>
      </c>
      <c r="F22" s="472"/>
      <c r="G22" s="17" t="s">
        <v>13</v>
      </c>
      <c r="H22" s="18" t="s">
        <v>14</v>
      </c>
      <c r="I22" s="17" t="s">
        <v>13</v>
      </c>
      <c r="J22" s="15" t="s">
        <v>14</v>
      </c>
      <c r="K22" s="18" t="s">
        <v>15</v>
      </c>
    </row>
    <row r="23" spans="1:11" ht="30" customHeight="1" thickBot="1" x14ac:dyDescent="0.3">
      <c r="A23" s="36">
        <v>603031000</v>
      </c>
      <c r="B23" s="37" t="s">
        <v>16</v>
      </c>
      <c r="C23" s="38">
        <v>0</v>
      </c>
      <c r="D23" s="88">
        <v>64</v>
      </c>
      <c r="E23" s="89">
        <f>C23+D23</f>
        <v>64</v>
      </c>
      <c r="F23" s="80">
        <f>D23/D24</f>
        <v>1</v>
      </c>
      <c r="G23" s="36">
        <v>0</v>
      </c>
      <c r="H23" s="39"/>
      <c r="I23" s="77">
        <v>0</v>
      </c>
      <c r="J23" s="91"/>
      <c r="K23" s="89">
        <f>I23+J23</f>
        <v>0</v>
      </c>
    </row>
    <row r="24" spans="1:11" ht="30" customHeight="1" thickBot="1" x14ac:dyDescent="0.3">
      <c r="A24" s="2"/>
      <c r="B24" s="11"/>
      <c r="C24" s="69">
        <f>C23</f>
        <v>0</v>
      </c>
      <c r="D24" s="70">
        <f>D23</f>
        <v>64</v>
      </c>
      <c r="E24" s="11"/>
      <c r="F24" s="81">
        <f>SUM(F23)</f>
        <v>1</v>
      </c>
      <c r="G24" s="2"/>
      <c r="H24" s="2"/>
      <c r="I24" s="2"/>
      <c r="J24" s="2"/>
      <c r="K24" s="11"/>
    </row>
  </sheetData>
  <customSheetViews>
    <customSheetView guid="{6961F61B-568A-47AE-A59A-66C974BCBE87}" scale="90" showPageBreaks="1" view="pageBreakPreview">
      <selection activeCell="M9" sqref="M9"/>
      <pageMargins left="0.19685039370078741" right="0.19685039370078741" top="0.59055118110236227" bottom="0.19685039370078741" header="0" footer="0"/>
      <pageSetup paperSize="9" scale="81" orientation="landscape" r:id="rId1"/>
    </customSheetView>
  </customSheetViews>
  <mergeCells count="17">
    <mergeCell ref="A21:B21"/>
    <mergeCell ref="C21:E21"/>
    <mergeCell ref="G21:H21"/>
    <mergeCell ref="I21:K21"/>
    <mergeCell ref="A2:B2"/>
    <mergeCell ref="A12:B12"/>
    <mergeCell ref="C12:E12"/>
    <mergeCell ref="G12:H12"/>
    <mergeCell ref="I12:K12"/>
    <mergeCell ref="F12:F13"/>
    <mergeCell ref="F21:F22"/>
    <mergeCell ref="A1:K1"/>
    <mergeCell ref="A3:B3"/>
    <mergeCell ref="C3:E3"/>
    <mergeCell ref="G3:H3"/>
    <mergeCell ref="I3:K3"/>
    <mergeCell ref="F3:F4"/>
  </mergeCells>
  <pageMargins left="0.19685039370078741" right="0.19685039370078741" top="0.59055118110236227" bottom="0.19685039370078741" header="0" footer="0"/>
  <pageSetup paperSize="9" scale="81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101"/>
  <sheetViews>
    <sheetView view="pageBreakPreview" zoomScale="120" zoomScaleNormal="100" zoomScaleSheetLayoutView="120" workbookViewId="0">
      <pane ySplit="6" topLeftCell="A94" activePane="bottomLeft" state="frozen"/>
      <selection pane="bottomLeft" activeCell="A26" sqref="A26:A28"/>
    </sheetView>
  </sheetViews>
  <sheetFormatPr defaultRowHeight="24.95" customHeight="1" x14ac:dyDescent="0.25"/>
  <cols>
    <col min="1" max="1" width="11.7109375" style="191" customWidth="1"/>
    <col min="2" max="2" width="17" style="191" customWidth="1"/>
    <col min="3" max="3" width="16.42578125" style="191" customWidth="1"/>
    <col min="4" max="5" width="7.28515625" style="139" customWidth="1"/>
    <col min="6" max="7" width="10.7109375" style="139" customWidth="1"/>
    <col min="8" max="9" width="13.85546875" style="139" customWidth="1"/>
    <col min="10" max="10" width="20.140625" style="191" customWidth="1"/>
    <col min="11" max="16384" width="9.140625" style="191"/>
  </cols>
  <sheetData>
    <row r="1" spans="1:10" ht="24.95" customHeight="1" x14ac:dyDescent="0.25">
      <c r="A1" s="475" t="s">
        <v>132</v>
      </c>
      <c r="B1" s="476"/>
      <c r="C1" s="476"/>
      <c r="D1" s="476"/>
      <c r="E1" s="476"/>
      <c r="F1" s="476"/>
      <c r="G1" s="476"/>
      <c r="H1" s="476"/>
      <c r="I1" s="476"/>
      <c r="J1" s="476"/>
    </row>
    <row r="2" spans="1:10" ht="24.95" customHeight="1" x14ac:dyDescent="0.25">
      <c r="A2" s="479" t="s">
        <v>137</v>
      </c>
      <c r="B2" s="480"/>
      <c r="C2" s="480"/>
      <c r="D2" s="480"/>
      <c r="E2" s="480"/>
      <c r="F2" s="480"/>
      <c r="G2" s="480"/>
      <c r="H2" s="480"/>
      <c r="I2" s="480"/>
      <c r="J2" s="480"/>
    </row>
    <row r="3" spans="1:10" ht="24.95" customHeight="1" x14ac:dyDescent="0.25">
      <c r="A3" s="477" t="s">
        <v>135</v>
      </c>
      <c r="B3" s="478"/>
      <c r="C3" s="478"/>
      <c r="D3" s="478"/>
      <c r="E3" s="478"/>
      <c r="F3" s="478"/>
      <c r="G3" s="478"/>
      <c r="H3" s="478"/>
      <c r="I3" s="478"/>
      <c r="J3" s="296">
        <v>38.42</v>
      </c>
    </row>
    <row r="4" spans="1:10" ht="9.75" customHeight="1" thickBot="1" x14ac:dyDescent="0.3">
      <c r="A4" s="276"/>
      <c r="B4" s="276"/>
      <c r="C4" s="276"/>
      <c r="D4" s="134"/>
      <c r="E4" s="134"/>
      <c r="F4" s="134"/>
      <c r="G4" s="134"/>
      <c r="H4" s="134"/>
      <c r="I4" s="134"/>
      <c r="J4" s="276"/>
    </row>
    <row r="5" spans="1:10" ht="24.95" customHeight="1" x14ac:dyDescent="0.25">
      <c r="A5" s="481" t="s">
        <v>127</v>
      </c>
      <c r="B5" s="494" t="s">
        <v>64</v>
      </c>
      <c r="C5" s="494" t="s">
        <v>66</v>
      </c>
      <c r="D5" s="494" t="s">
        <v>128</v>
      </c>
      <c r="E5" s="495"/>
      <c r="F5" s="481" t="s">
        <v>133</v>
      </c>
      <c r="G5" s="482"/>
      <c r="H5" s="481" t="s">
        <v>134</v>
      </c>
      <c r="I5" s="482"/>
      <c r="J5" s="498" t="s">
        <v>131</v>
      </c>
    </row>
    <row r="6" spans="1:10" s="192" customFormat="1" ht="24.95" customHeight="1" thickBot="1" x14ac:dyDescent="0.3">
      <c r="A6" s="496"/>
      <c r="B6" s="497"/>
      <c r="C6" s="497"/>
      <c r="D6" s="279" t="s">
        <v>129</v>
      </c>
      <c r="E6" s="280" t="s">
        <v>130</v>
      </c>
      <c r="F6" s="284" t="s">
        <v>129</v>
      </c>
      <c r="G6" s="285" t="s">
        <v>130</v>
      </c>
      <c r="H6" s="284" t="s">
        <v>129</v>
      </c>
      <c r="I6" s="285" t="s">
        <v>130</v>
      </c>
      <c r="J6" s="499"/>
    </row>
    <row r="7" spans="1:10" s="192" customFormat="1" ht="3" customHeight="1" thickBot="1" x14ac:dyDescent="0.3">
      <c r="A7" s="1"/>
      <c r="B7" s="1"/>
      <c r="C7" s="1"/>
      <c r="D7" s="298"/>
      <c r="E7" s="298"/>
      <c r="F7" s="299"/>
      <c r="G7" s="299"/>
      <c r="H7" s="299"/>
      <c r="I7" s="299"/>
      <c r="J7" s="162"/>
    </row>
    <row r="8" spans="1:10" ht="24.95" customHeight="1" x14ac:dyDescent="0.25">
      <c r="A8" s="483">
        <v>1</v>
      </c>
      <c r="B8" s="277" t="s">
        <v>126</v>
      </c>
      <c r="C8" s="317"/>
      <c r="D8" s="277"/>
      <c r="E8" s="281"/>
      <c r="F8" s="286">
        <f>J3*135%</f>
        <v>51.867000000000004</v>
      </c>
      <c r="G8" s="287">
        <f>J3*115%</f>
        <v>44.183</v>
      </c>
      <c r="H8" s="286">
        <f t="shared" ref="H8:H39" si="0">F8*8*D8</f>
        <v>0</v>
      </c>
      <c r="I8" s="287">
        <f t="shared" ref="I8:I39" si="1">G8*8*E8</f>
        <v>0</v>
      </c>
      <c r="J8" s="486">
        <f>H8+H9+H10+I8+I9+I10</f>
        <v>0</v>
      </c>
    </row>
    <row r="9" spans="1:10" ht="24.95" customHeight="1" x14ac:dyDescent="0.25">
      <c r="A9" s="484"/>
      <c r="B9" s="275" t="s">
        <v>125</v>
      </c>
      <c r="C9" s="318"/>
      <c r="D9" s="275"/>
      <c r="E9" s="282"/>
      <c r="F9" s="292">
        <f>J3*135%</f>
        <v>51.867000000000004</v>
      </c>
      <c r="G9" s="293">
        <f>J3*115%</f>
        <v>44.183</v>
      </c>
      <c r="H9" s="288">
        <f t="shared" si="0"/>
        <v>0</v>
      </c>
      <c r="I9" s="289">
        <f t="shared" si="1"/>
        <v>0</v>
      </c>
      <c r="J9" s="487"/>
    </row>
    <row r="10" spans="1:10" ht="24.95" customHeight="1" thickBot="1" x14ac:dyDescent="0.3">
      <c r="A10" s="485"/>
      <c r="B10" s="278" t="s">
        <v>124</v>
      </c>
      <c r="C10" s="319"/>
      <c r="D10" s="278"/>
      <c r="E10" s="283"/>
      <c r="F10" s="294">
        <f>J3*135%+20%</f>
        <v>52.067000000000007</v>
      </c>
      <c r="G10" s="295">
        <f>J3*115%+20%</f>
        <v>44.383000000000003</v>
      </c>
      <c r="H10" s="290">
        <f t="shared" si="0"/>
        <v>0</v>
      </c>
      <c r="I10" s="291">
        <f t="shared" si="1"/>
        <v>0</v>
      </c>
      <c r="J10" s="488"/>
    </row>
    <row r="11" spans="1:10" ht="24.95" customHeight="1" x14ac:dyDescent="0.25">
      <c r="A11" s="489">
        <v>2</v>
      </c>
      <c r="B11" s="277" t="s">
        <v>126</v>
      </c>
      <c r="C11" s="317"/>
      <c r="D11" s="277"/>
      <c r="E11" s="281"/>
      <c r="F11" s="286">
        <f>J3*135%</f>
        <v>51.867000000000004</v>
      </c>
      <c r="G11" s="287">
        <f>J3*115%</f>
        <v>44.183</v>
      </c>
      <c r="H11" s="286">
        <f t="shared" si="0"/>
        <v>0</v>
      </c>
      <c r="I11" s="287">
        <f t="shared" si="1"/>
        <v>0</v>
      </c>
      <c r="J11" s="486">
        <f>H11+H12+H13+I11+I12+I13</f>
        <v>0</v>
      </c>
    </row>
    <row r="12" spans="1:10" ht="24.95" customHeight="1" x14ac:dyDescent="0.25">
      <c r="A12" s="490"/>
      <c r="B12" s="275" t="s">
        <v>125</v>
      </c>
      <c r="C12" s="318"/>
      <c r="D12" s="275"/>
      <c r="E12" s="282"/>
      <c r="F12" s="292">
        <f>J3*135%</f>
        <v>51.867000000000004</v>
      </c>
      <c r="G12" s="293">
        <f>J3*115%</f>
        <v>44.183</v>
      </c>
      <c r="H12" s="288">
        <f t="shared" si="0"/>
        <v>0</v>
      </c>
      <c r="I12" s="289">
        <f t="shared" si="1"/>
        <v>0</v>
      </c>
      <c r="J12" s="492"/>
    </row>
    <row r="13" spans="1:10" ht="24.95" customHeight="1" thickBot="1" x14ac:dyDescent="0.3">
      <c r="A13" s="491"/>
      <c r="B13" s="278" t="s">
        <v>124</v>
      </c>
      <c r="C13" s="319"/>
      <c r="D13" s="278"/>
      <c r="E13" s="283"/>
      <c r="F13" s="294">
        <f>J3*135%+20%</f>
        <v>52.067000000000007</v>
      </c>
      <c r="G13" s="295">
        <f>J3*115%+20%</f>
        <v>44.383000000000003</v>
      </c>
      <c r="H13" s="290">
        <f t="shared" si="0"/>
        <v>0</v>
      </c>
      <c r="I13" s="291">
        <f t="shared" si="1"/>
        <v>0</v>
      </c>
      <c r="J13" s="493"/>
    </row>
    <row r="14" spans="1:10" ht="24.95" customHeight="1" x14ac:dyDescent="0.25">
      <c r="A14" s="483">
        <v>3</v>
      </c>
      <c r="B14" s="277" t="s">
        <v>126</v>
      </c>
      <c r="C14" s="317"/>
      <c r="D14" s="277"/>
      <c r="E14" s="281"/>
      <c r="F14" s="286">
        <f>J3*135%</f>
        <v>51.867000000000004</v>
      </c>
      <c r="G14" s="287">
        <f>J3*115%</f>
        <v>44.183</v>
      </c>
      <c r="H14" s="286">
        <f t="shared" si="0"/>
        <v>0</v>
      </c>
      <c r="I14" s="287">
        <f t="shared" si="1"/>
        <v>0</v>
      </c>
      <c r="J14" s="486">
        <f>H14+H15+H16+I14+I15+I16</f>
        <v>0</v>
      </c>
    </row>
    <row r="15" spans="1:10" ht="24.95" customHeight="1" x14ac:dyDescent="0.25">
      <c r="A15" s="484"/>
      <c r="B15" s="275" t="s">
        <v>125</v>
      </c>
      <c r="C15" s="318"/>
      <c r="D15" s="275"/>
      <c r="E15" s="282"/>
      <c r="F15" s="292">
        <f>J3*135%</f>
        <v>51.867000000000004</v>
      </c>
      <c r="G15" s="293">
        <f>J3*115%</f>
        <v>44.183</v>
      </c>
      <c r="H15" s="288">
        <f t="shared" si="0"/>
        <v>0</v>
      </c>
      <c r="I15" s="289">
        <f t="shared" si="1"/>
        <v>0</v>
      </c>
      <c r="J15" s="487"/>
    </row>
    <row r="16" spans="1:10" ht="24.95" customHeight="1" thickBot="1" x14ac:dyDescent="0.3">
      <c r="A16" s="485"/>
      <c r="B16" s="278" t="s">
        <v>124</v>
      </c>
      <c r="C16" s="319"/>
      <c r="D16" s="278"/>
      <c r="E16" s="283"/>
      <c r="F16" s="294">
        <f>J3*135%+20%</f>
        <v>52.067000000000007</v>
      </c>
      <c r="G16" s="295">
        <f>J3*115%+20%</f>
        <v>44.383000000000003</v>
      </c>
      <c r="H16" s="290">
        <f t="shared" si="0"/>
        <v>0</v>
      </c>
      <c r="I16" s="291">
        <f t="shared" si="1"/>
        <v>0</v>
      </c>
      <c r="J16" s="488"/>
    </row>
    <row r="17" spans="1:10" ht="24.95" customHeight="1" x14ac:dyDescent="0.25">
      <c r="A17" s="483">
        <v>4</v>
      </c>
      <c r="B17" s="277" t="s">
        <v>126</v>
      </c>
      <c r="C17" s="317"/>
      <c r="D17" s="277"/>
      <c r="E17" s="281"/>
      <c r="F17" s="286">
        <f>J3*135%</f>
        <v>51.867000000000004</v>
      </c>
      <c r="G17" s="287">
        <f>J3*115%</f>
        <v>44.183</v>
      </c>
      <c r="H17" s="286">
        <f t="shared" si="0"/>
        <v>0</v>
      </c>
      <c r="I17" s="287">
        <f t="shared" si="1"/>
        <v>0</v>
      </c>
      <c r="J17" s="486">
        <f>H17+H18+H19+I17+I18+I19</f>
        <v>0</v>
      </c>
    </row>
    <row r="18" spans="1:10" ht="24.95" customHeight="1" x14ac:dyDescent="0.25">
      <c r="A18" s="484"/>
      <c r="B18" s="275" t="s">
        <v>125</v>
      </c>
      <c r="C18" s="318"/>
      <c r="D18" s="275"/>
      <c r="E18" s="282"/>
      <c r="F18" s="292">
        <f>J3*135%</f>
        <v>51.867000000000004</v>
      </c>
      <c r="G18" s="293">
        <f>J3*115%</f>
        <v>44.183</v>
      </c>
      <c r="H18" s="288">
        <f t="shared" si="0"/>
        <v>0</v>
      </c>
      <c r="I18" s="289">
        <f t="shared" si="1"/>
        <v>0</v>
      </c>
      <c r="J18" s="487"/>
    </row>
    <row r="19" spans="1:10" ht="24.95" customHeight="1" thickBot="1" x14ac:dyDescent="0.3">
      <c r="A19" s="485"/>
      <c r="B19" s="278" t="s">
        <v>124</v>
      </c>
      <c r="C19" s="319"/>
      <c r="D19" s="278"/>
      <c r="E19" s="283"/>
      <c r="F19" s="294">
        <f>J3*135%+20%</f>
        <v>52.067000000000007</v>
      </c>
      <c r="G19" s="295">
        <f>J3*115%+20%</f>
        <v>44.383000000000003</v>
      </c>
      <c r="H19" s="290">
        <f t="shared" si="0"/>
        <v>0</v>
      </c>
      <c r="I19" s="291">
        <f t="shared" si="1"/>
        <v>0</v>
      </c>
      <c r="J19" s="488"/>
    </row>
    <row r="20" spans="1:10" ht="24.95" customHeight="1" x14ac:dyDescent="0.25">
      <c r="A20" s="483">
        <v>5</v>
      </c>
      <c r="B20" s="277" t="s">
        <v>126</v>
      </c>
      <c r="C20" s="317"/>
      <c r="D20" s="277"/>
      <c r="E20" s="281"/>
      <c r="F20" s="286">
        <f>J3*135%</f>
        <v>51.867000000000004</v>
      </c>
      <c r="G20" s="287">
        <f>J3*115%</f>
        <v>44.183</v>
      </c>
      <c r="H20" s="286">
        <f t="shared" si="0"/>
        <v>0</v>
      </c>
      <c r="I20" s="287">
        <f t="shared" si="1"/>
        <v>0</v>
      </c>
      <c r="J20" s="486">
        <f>H20+H21+H22+I20+I21+I22</f>
        <v>0</v>
      </c>
    </row>
    <row r="21" spans="1:10" ht="24.95" customHeight="1" x14ac:dyDescent="0.25">
      <c r="A21" s="484"/>
      <c r="B21" s="275" t="s">
        <v>125</v>
      </c>
      <c r="C21" s="318"/>
      <c r="D21" s="275"/>
      <c r="E21" s="282"/>
      <c r="F21" s="292">
        <f>J3*135%</f>
        <v>51.867000000000004</v>
      </c>
      <c r="G21" s="293">
        <f>J3*115%</f>
        <v>44.183</v>
      </c>
      <c r="H21" s="288">
        <f t="shared" si="0"/>
        <v>0</v>
      </c>
      <c r="I21" s="289">
        <f t="shared" si="1"/>
        <v>0</v>
      </c>
      <c r="J21" s="487"/>
    </row>
    <row r="22" spans="1:10" ht="24.95" customHeight="1" thickBot="1" x14ac:dyDescent="0.3">
      <c r="A22" s="485"/>
      <c r="B22" s="278" t="s">
        <v>124</v>
      </c>
      <c r="C22" s="319"/>
      <c r="D22" s="278"/>
      <c r="E22" s="283"/>
      <c r="F22" s="294">
        <f>J3*135%+20%</f>
        <v>52.067000000000007</v>
      </c>
      <c r="G22" s="295">
        <f>J3*115%+20%</f>
        <v>44.383000000000003</v>
      </c>
      <c r="H22" s="290">
        <f t="shared" si="0"/>
        <v>0</v>
      </c>
      <c r="I22" s="291">
        <f t="shared" si="1"/>
        <v>0</v>
      </c>
      <c r="J22" s="488"/>
    </row>
    <row r="23" spans="1:10" ht="24.95" customHeight="1" x14ac:dyDescent="0.25">
      <c r="A23" s="483">
        <v>6</v>
      </c>
      <c r="B23" s="277" t="s">
        <v>126</v>
      </c>
      <c r="C23" s="317"/>
      <c r="D23" s="277"/>
      <c r="E23" s="281"/>
      <c r="F23" s="286">
        <f>J3*135%</f>
        <v>51.867000000000004</v>
      </c>
      <c r="G23" s="287">
        <f>J3*115%</f>
        <v>44.183</v>
      </c>
      <c r="H23" s="286">
        <f t="shared" si="0"/>
        <v>0</v>
      </c>
      <c r="I23" s="287">
        <f t="shared" si="1"/>
        <v>0</v>
      </c>
      <c r="J23" s="486">
        <f>H23+H24+H25+I23+I24+I25</f>
        <v>0</v>
      </c>
    </row>
    <row r="24" spans="1:10" ht="24.95" customHeight="1" x14ac:dyDescent="0.25">
      <c r="A24" s="484"/>
      <c r="B24" s="275" t="s">
        <v>125</v>
      </c>
      <c r="C24" s="318"/>
      <c r="D24" s="275"/>
      <c r="E24" s="282"/>
      <c r="F24" s="292">
        <f>J3*135%</f>
        <v>51.867000000000004</v>
      </c>
      <c r="G24" s="293">
        <f>J3*115%</f>
        <v>44.183</v>
      </c>
      <c r="H24" s="288">
        <f t="shared" si="0"/>
        <v>0</v>
      </c>
      <c r="I24" s="289">
        <f t="shared" si="1"/>
        <v>0</v>
      </c>
      <c r="J24" s="487"/>
    </row>
    <row r="25" spans="1:10" ht="24.95" customHeight="1" thickBot="1" x14ac:dyDescent="0.3">
      <c r="A25" s="485"/>
      <c r="B25" s="278" t="s">
        <v>124</v>
      </c>
      <c r="C25" s="319"/>
      <c r="D25" s="278"/>
      <c r="E25" s="283"/>
      <c r="F25" s="294">
        <f>J3*135%+20%</f>
        <v>52.067000000000007</v>
      </c>
      <c r="G25" s="295">
        <f>J3*115%+20%</f>
        <v>44.383000000000003</v>
      </c>
      <c r="H25" s="290">
        <f t="shared" si="0"/>
        <v>0</v>
      </c>
      <c r="I25" s="291">
        <f t="shared" si="1"/>
        <v>0</v>
      </c>
      <c r="J25" s="488"/>
    </row>
    <row r="26" spans="1:10" ht="24.95" customHeight="1" x14ac:dyDescent="0.25">
      <c r="A26" s="483">
        <v>7</v>
      </c>
      <c r="B26" s="277" t="s">
        <v>126</v>
      </c>
      <c r="C26" s="317"/>
      <c r="D26" s="277"/>
      <c r="E26" s="281"/>
      <c r="F26" s="286">
        <f>J3*135%</f>
        <v>51.867000000000004</v>
      </c>
      <c r="G26" s="287">
        <f>J3*115%</f>
        <v>44.183</v>
      </c>
      <c r="H26" s="286">
        <f t="shared" si="0"/>
        <v>0</v>
      </c>
      <c r="I26" s="287">
        <f t="shared" si="1"/>
        <v>0</v>
      </c>
      <c r="J26" s="486">
        <f>H26+H27+H28+I26+I27+I28</f>
        <v>0</v>
      </c>
    </row>
    <row r="27" spans="1:10" ht="24.95" customHeight="1" x14ac:dyDescent="0.25">
      <c r="A27" s="484"/>
      <c r="B27" s="275" t="s">
        <v>125</v>
      </c>
      <c r="C27" s="318"/>
      <c r="D27" s="275"/>
      <c r="E27" s="282"/>
      <c r="F27" s="292">
        <f>J3*135%</f>
        <v>51.867000000000004</v>
      </c>
      <c r="G27" s="293">
        <f>J3*115%</f>
        <v>44.183</v>
      </c>
      <c r="H27" s="288">
        <f t="shared" si="0"/>
        <v>0</v>
      </c>
      <c r="I27" s="289">
        <f t="shared" si="1"/>
        <v>0</v>
      </c>
      <c r="J27" s="487"/>
    </row>
    <row r="28" spans="1:10" ht="24.95" customHeight="1" thickBot="1" x14ac:dyDescent="0.3">
      <c r="A28" s="485"/>
      <c r="B28" s="278" t="s">
        <v>124</v>
      </c>
      <c r="C28" s="319"/>
      <c r="D28" s="278"/>
      <c r="E28" s="283"/>
      <c r="F28" s="294">
        <f>J3*135%+20%</f>
        <v>52.067000000000007</v>
      </c>
      <c r="G28" s="295">
        <f>J3*115%+20%</f>
        <v>44.383000000000003</v>
      </c>
      <c r="H28" s="290">
        <f t="shared" si="0"/>
        <v>0</v>
      </c>
      <c r="I28" s="291">
        <f t="shared" si="1"/>
        <v>0</v>
      </c>
      <c r="J28" s="488"/>
    </row>
    <row r="29" spans="1:10" ht="24.95" customHeight="1" x14ac:dyDescent="0.25">
      <c r="A29" s="483">
        <v>8</v>
      </c>
      <c r="B29" s="277" t="s">
        <v>126</v>
      </c>
      <c r="C29" s="317"/>
      <c r="D29" s="277"/>
      <c r="E29" s="281"/>
      <c r="F29" s="286">
        <f>J3*135%</f>
        <v>51.867000000000004</v>
      </c>
      <c r="G29" s="287">
        <f>J3*115%</f>
        <v>44.183</v>
      </c>
      <c r="H29" s="286">
        <f t="shared" si="0"/>
        <v>0</v>
      </c>
      <c r="I29" s="287">
        <f t="shared" si="1"/>
        <v>0</v>
      </c>
      <c r="J29" s="486">
        <f>H29+H30+H31+I29+I30+I31</f>
        <v>0</v>
      </c>
    </row>
    <row r="30" spans="1:10" ht="24.95" customHeight="1" x14ac:dyDescent="0.25">
      <c r="A30" s="484"/>
      <c r="B30" s="275" t="s">
        <v>125</v>
      </c>
      <c r="C30" s="318"/>
      <c r="D30" s="275"/>
      <c r="E30" s="282"/>
      <c r="F30" s="292">
        <f>J3*135%</f>
        <v>51.867000000000004</v>
      </c>
      <c r="G30" s="293">
        <f>J3*115%</f>
        <v>44.183</v>
      </c>
      <c r="H30" s="288">
        <f t="shared" si="0"/>
        <v>0</v>
      </c>
      <c r="I30" s="289">
        <f t="shared" si="1"/>
        <v>0</v>
      </c>
      <c r="J30" s="487"/>
    </row>
    <row r="31" spans="1:10" ht="24.95" customHeight="1" thickBot="1" x14ac:dyDescent="0.3">
      <c r="A31" s="485"/>
      <c r="B31" s="278" t="s">
        <v>124</v>
      </c>
      <c r="C31" s="319"/>
      <c r="D31" s="278"/>
      <c r="E31" s="283"/>
      <c r="F31" s="294">
        <f>J3*135%+20%</f>
        <v>52.067000000000007</v>
      </c>
      <c r="G31" s="295">
        <f>J3*115%+20%</f>
        <v>44.383000000000003</v>
      </c>
      <c r="H31" s="290">
        <f t="shared" si="0"/>
        <v>0</v>
      </c>
      <c r="I31" s="291">
        <f t="shared" si="1"/>
        <v>0</v>
      </c>
      <c r="J31" s="488"/>
    </row>
    <row r="32" spans="1:10" ht="24.95" customHeight="1" x14ac:dyDescent="0.25">
      <c r="A32" s="483">
        <v>9</v>
      </c>
      <c r="B32" s="277" t="s">
        <v>126</v>
      </c>
      <c r="C32" s="317"/>
      <c r="D32" s="277"/>
      <c r="E32" s="281"/>
      <c r="F32" s="286">
        <f>J3*135%</f>
        <v>51.867000000000004</v>
      </c>
      <c r="G32" s="287">
        <f>J3*115%</f>
        <v>44.183</v>
      </c>
      <c r="H32" s="286">
        <f t="shared" si="0"/>
        <v>0</v>
      </c>
      <c r="I32" s="287">
        <f t="shared" si="1"/>
        <v>0</v>
      </c>
      <c r="J32" s="486">
        <f>H32+H33+H34+I32+I33+I34</f>
        <v>0</v>
      </c>
    </row>
    <row r="33" spans="1:10" ht="24.95" customHeight="1" x14ac:dyDescent="0.25">
      <c r="A33" s="484"/>
      <c r="B33" s="275" t="s">
        <v>125</v>
      </c>
      <c r="C33" s="318"/>
      <c r="D33" s="275"/>
      <c r="E33" s="282"/>
      <c r="F33" s="292">
        <f>J3*135%</f>
        <v>51.867000000000004</v>
      </c>
      <c r="G33" s="293">
        <f>J3*115%</f>
        <v>44.183</v>
      </c>
      <c r="H33" s="288">
        <f t="shared" si="0"/>
        <v>0</v>
      </c>
      <c r="I33" s="289">
        <f t="shared" si="1"/>
        <v>0</v>
      </c>
      <c r="J33" s="487"/>
    </row>
    <row r="34" spans="1:10" ht="24.95" customHeight="1" thickBot="1" x14ac:dyDescent="0.3">
      <c r="A34" s="485"/>
      <c r="B34" s="278" t="s">
        <v>124</v>
      </c>
      <c r="C34" s="319"/>
      <c r="D34" s="278"/>
      <c r="E34" s="283"/>
      <c r="F34" s="294">
        <f>J3*135%+20%</f>
        <v>52.067000000000007</v>
      </c>
      <c r="G34" s="295">
        <f>J3*115%+20%</f>
        <v>44.383000000000003</v>
      </c>
      <c r="H34" s="290">
        <f t="shared" si="0"/>
        <v>0</v>
      </c>
      <c r="I34" s="291">
        <f t="shared" si="1"/>
        <v>0</v>
      </c>
      <c r="J34" s="488"/>
    </row>
    <row r="35" spans="1:10" ht="24.95" customHeight="1" x14ac:dyDescent="0.25">
      <c r="A35" s="483">
        <v>10</v>
      </c>
      <c r="B35" s="277" t="s">
        <v>126</v>
      </c>
      <c r="C35" s="317"/>
      <c r="D35" s="277"/>
      <c r="E35" s="281"/>
      <c r="F35" s="286">
        <f>J3*135%</f>
        <v>51.867000000000004</v>
      </c>
      <c r="G35" s="287">
        <f>J3*115%</f>
        <v>44.183</v>
      </c>
      <c r="H35" s="286">
        <f t="shared" si="0"/>
        <v>0</v>
      </c>
      <c r="I35" s="287">
        <f t="shared" si="1"/>
        <v>0</v>
      </c>
      <c r="J35" s="486">
        <f>H35+H36+H37+I35+I36+I37</f>
        <v>0</v>
      </c>
    </row>
    <row r="36" spans="1:10" ht="24.95" customHeight="1" x14ac:dyDescent="0.25">
      <c r="A36" s="484"/>
      <c r="B36" s="275" t="s">
        <v>125</v>
      </c>
      <c r="C36" s="318"/>
      <c r="D36" s="275"/>
      <c r="E36" s="282"/>
      <c r="F36" s="292">
        <f>J3*135%</f>
        <v>51.867000000000004</v>
      </c>
      <c r="G36" s="293">
        <f>J3*115%</f>
        <v>44.183</v>
      </c>
      <c r="H36" s="288">
        <f t="shared" si="0"/>
        <v>0</v>
      </c>
      <c r="I36" s="289">
        <f t="shared" si="1"/>
        <v>0</v>
      </c>
      <c r="J36" s="487"/>
    </row>
    <row r="37" spans="1:10" ht="24.95" customHeight="1" thickBot="1" x14ac:dyDescent="0.3">
      <c r="A37" s="485"/>
      <c r="B37" s="278" t="s">
        <v>124</v>
      </c>
      <c r="C37" s="319"/>
      <c r="D37" s="278"/>
      <c r="E37" s="283"/>
      <c r="F37" s="294">
        <f>J3*135%+20%</f>
        <v>52.067000000000007</v>
      </c>
      <c r="G37" s="295">
        <f>J3*115%+20%</f>
        <v>44.383000000000003</v>
      </c>
      <c r="H37" s="290">
        <f t="shared" si="0"/>
        <v>0</v>
      </c>
      <c r="I37" s="291">
        <f t="shared" si="1"/>
        <v>0</v>
      </c>
      <c r="J37" s="488"/>
    </row>
    <row r="38" spans="1:10" ht="24.95" customHeight="1" x14ac:dyDescent="0.25">
      <c r="A38" s="483">
        <v>11</v>
      </c>
      <c r="B38" s="277" t="s">
        <v>126</v>
      </c>
      <c r="C38" s="317"/>
      <c r="D38" s="277"/>
      <c r="E38" s="281"/>
      <c r="F38" s="286">
        <f>J3*135%</f>
        <v>51.867000000000004</v>
      </c>
      <c r="G38" s="287">
        <f>J3*115%</f>
        <v>44.183</v>
      </c>
      <c r="H38" s="286">
        <f t="shared" si="0"/>
        <v>0</v>
      </c>
      <c r="I38" s="287">
        <f t="shared" si="1"/>
        <v>0</v>
      </c>
      <c r="J38" s="486">
        <f>H38+H39+H40+I38+I39+I40</f>
        <v>0</v>
      </c>
    </row>
    <row r="39" spans="1:10" ht="24.95" customHeight="1" x14ac:dyDescent="0.25">
      <c r="A39" s="484"/>
      <c r="B39" s="275" t="s">
        <v>125</v>
      </c>
      <c r="C39" s="318"/>
      <c r="D39" s="275"/>
      <c r="E39" s="282"/>
      <c r="F39" s="292">
        <f>J3*135%</f>
        <v>51.867000000000004</v>
      </c>
      <c r="G39" s="293">
        <f>J3*115%</f>
        <v>44.183</v>
      </c>
      <c r="H39" s="288">
        <f t="shared" si="0"/>
        <v>0</v>
      </c>
      <c r="I39" s="289">
        <f t="shared" si="1"/>
        <v>0</v>
      </c>
      <c r="J39" s="487"/>
    </row>
    <row r="40" spans="1:10" ht="24.95" customHeight="1" thickBot="1" x14ac:dyDescent="0.3">
      <c r="A40" s="485"/>
      <c r="B40" s="278" t="s">
        <v>124</v>
      </c>
      <c r="C40" s="319"/>
      <c r="D40" s="278"/>
      <c r="E40" s="283"/>
      <c r="F40" s="294">
        <f>J3*135%+20%</f>
        <v>52.067000000000007</v>
      </c>
      <c r="G40" s="295">
        <f>J3*115%+20%</f>
        <v>44.383000000000003</v>
      </c>
      <c r="H40" s="290">
        <f t="shared" ref="H40:H71" si="2">F40*8*D40</f>
        <v>0</v>
      </c>
      <c r="I40" s="291">
        <f t="shared" ref="I40:I71" si="3">G40*8*E40</f>
        <v>0</v>
      </c>
      <c r="J40" s="488"/>
    </row>
    <row r="41" spans="1:10" ht="24.95" customHeight="1" x14ac:dyDescent="0.25">
      <c r="A41" s="483">
        <v>12</v>
      </c>
      <c r="B41" s="277" t="s">
        <v>126</v>
      </c>
      <c r="C41" s="317"/>
      <c r="D41" s="277"/>
      <c r="E41" s="281"/>
      <c r="F41" s="286">
        <f>J3*135%</f>
        <v>51.867000000000004</v>
      </c>
      <c r="G41" s="287">
        <f>J3*115%</f>
        <v>44.183</v>
      </c>
      <c r="H41" s="286">
        <f t="shared" si="2"/>
        <v>0</v>
      </c>
      <c r="I41" s="287">
        <f t="shared" si="3"/>
        <v>0</v>
      </c>
      <c r="J41" s="486">
        <f>H41+H42+H43+I41+I42+I43</f>
        <v>0</v>
      </c>
    </row>
    <row r="42" spans="1:10" ht="24.95" customHeight="1" x14ac:dyDescent="0.25">
      <c r="A42" s="484"/>
      <c r="B42" s="275" t="s">
        <v>125</v>
      </c>
      <c r="C42" s="318"/>
      <c r="D42" s="275"/>
      <c r="E42" s="282"/>
      <c r="F42" s="292">
        <f>J3*135%</f>
        <v>51.867000000000004</v>
      </c>
      <c r="G42" s="293">
        <f>J3*115%</f>
        <v>44.183</v>
      </c>
      <c r="H42" s="288">
        <f t="shared" si="2"/>
        <v>0</v>
      </c>
      <c r="I42" s="289">
        <f t="shared" si="3"/>
        <v>0</v>
      </c>
      <c r="J42" s="487"/>
    </row>
    <row r="43" spans="1:10" ht="24.95" customHeight="1" thickBot="1" x14ac:dyDescent="0.3">
      <c r="A43" s="485"/>
      <c r="B43" s="278" t="s">
        <v>124</v>
      </c>
      <c r="C43" s="319"/>
      <c r="D43" s="278"/>
      <c r="E43" s="283"/>
      <c r="F43" s="294">
        <f>J3*135%+20%</f>
        <v>52.067000000000007</v>
      </c>
      <c r="G43" s="295">
        <f>J3*115%+20%</f>
        <v>44.383000000000003</v>
      </c>
      <c r="H43" s="290">
        <f t="shared" si="2"/>
        <v>0</v>
      </c>
      <c r="I43" s="291">
        <f t="shared" si="3"/>
        <v>0</v>
      </c>
      <c r="J43" s="488"/>
    </row>
    <row r="44" spans="1:10" ht="24.95" customHeight="1" x14ac:dyDescent="0.25">
      <c r="A44" s="483">
        <v>13</v>
      </c>
      <c r="B44" s="277" t="s">
        <v>126</v>
      </c>
      <c r="C44" s="317"/>
      <c r="D44" s="277"/>
      <c r="E44" s="281"/>
      <c r="F44" s="286">
        <f>J3*135%</f>
        <v>51.867000000000004</v>
      </c>
      <c r="G44" s="287">
        <f>J3*115%</f>
        <v>44.183</v>
      </c>
      <c r="H44" s="286">
        <f t="shared" si="2"/>
        <v>0</v>
      </c>
      <c r="I44" s="287">
        <f t="shared" si="3"/>
        <v>0</v>
      </c>
      <c r="J44" s="486">
        <f>H44+H45+H46+I44+I45+I46</f>
        <v>0</v>
      </c>
    </row>
    <row r="45" spans="1:10" ht="24.95" customHeight="1" x14ac:dyDescent="0.25">
      <c r="A45" s="484"/>
      <c r="B45" s="275" t="s">
        <v>125</v>
      </c>
      <c r="C45" s="318"/>
      <c r="D45" s="275"/>
      <c r="E45" s="282"/>
      <c r="F45" s="292">
        <f>J3*135%</f>
        <v>51.867000000000004</v>
      </c>
      <c r="G45" s="293">
        <f>J3*115%</f>
        <v>44.183</v>
      </c>
      <c r="H45" s="288">
        <f t="shared" si="2"/>
        <v>0</v>
      </c>
      <c r="I45" s="289">
        <f t="shared" si="3"/>
        <v>0</v>
      </c>
      <c r="J45" s="487"/>
    </row>
    <row r="46" spans="1:10" ht="24.95" customHeight="1" thickBot="1" x14ac:dyDescent="0.3">
      <c r="A46" s="485"/>
      <c r="B46" s="278" t="s">
        <v>124</v>
      </c>
      <c r="C46" s="319"/>
      <c r="D46" s="278"/>
      <c r="E46" s="283"/>
      <c r="F46" s="294">
        <f>J3*135%+20%</f>
        <v>52.067000000000007</v>
      </c>
      <c r="G46" s="295">
        <f>J3*115%+20%</f>
        <v>44.383000000000003</v>
      </c>
      <c r="H46" s="290">
        <f t="shared" si="2"/>
        <v>0</v>
      </c>
      <c r="I46" s="291">
        <f t="shared" si="3"/>
        <v>0</v>
      </c>
      <c r="J46" s="488"/>
    </row>
    <row r="47" spans="1:10" ht="24.95" customHeight="1" x14ac:dyDescent="0.25">
      <c r="A47" s="483">
        <v>14</v>
      </c>
      <c r="B47" s="277" t="s">
        <v>126</v>
      </c>
      <c r="C47" s="317"/>
      <c r="D47" s="277"/>
      <c r="E47" s="281"/>
      <c r="F47" s="286">
        <f>J3*135%</f>
        <v>51.867000000000004</v>
      </c>
      <c r="G47" s="287">
        <f>J3*115%</f>
        <v>44.183</v>
      </c>
      <c r="H47" s="286">
        <f t="shared" si="2"/>
        <v>0</v>
      </c>
      <c r="I47" s="287">
        <f t="shared" si="3"/>
        <v>0</v>
      </c>
      <c r="J47" s="486">
        <f>H47+H48+H49+I47+I48+I49</f>
        <v>0</v>
      </c>
    </row>
    <row r="48" spans="1:10" ht="24.95" customHeight="1" x14ac:dyDescent="0.25">
      <c r="A48" s="484"/>
      <c r="B48" s="275" t="s">
        <v>125</v>
      </c>
      <c r="C48" s="318"/>
      <c r="D48" s="275"/>
      <c r="E48" s="282"/>
      <c r="F48" s="292">
        <f>J3*135%</f>
        <v>51.867000000000004</v>
      </c>
      <c r="G48" s="293">
        <f>J3*115%</f>
        <v>44.183</v>
      </c>
      <c r="H48" s="288">
        <f t="shared" si="2"/>
        <v>0</v>
      </c>
      <c r="I48" s="289">
        <f t="shared" si="3"/>
        <v>0</v>
      </c>
      <c r="J48" s="487"/>
    </row>
    <row r="49" spans="1:10" ht="24.95" customHeight="1" thickBot="1" x14ac:dyDescent="0.3">
      <c r="A49" s="485"/>
      <c r="B49" s="278" t="s">
        <v>124</v>
      </c>
      <c r="C49" s="319"/>
      <c r="D49" s="278"/>
      <c r="E49" s="283"/>
      <c r="F49" s="294">
        <f>J3*135%+20%</f>
        <v>52.067000000000007</v>
      </c>
      <c r="G49" s="295">
        <f>J3*115%+20%</f>
        <v>44.383000000000003</v>
      </c>
      <c r="H49" s="290">
        <f t="shared" si="2"/>
        <v>0</v>
      </c>
      <c r="I49" s="291">
        <f t="shared" si="3"/>
        <v>0</v>
      </c>
      <c r="J49" s="488"/>
    </row>
    <row r="50" spans="1:10" ht="24.95" customHeight="1" x14ac:dyDescent="0.25">
      <c r="A50" s="483">
        <v>15</v>
      </c>
      <c r="B50" s="277" t="s">
        <v>126</v>
      </c>
      <c r="C50" s="317"/>
      <c r="D50" s="277"/>
      <c r="E50" s="281"/>
      <c r="F50" s="286">
        <f>J3*135%</f>
        <v>51.867000000000004</v>
      </c>
      <c r="G50" s="287">
        <f>J3*115%</f>
        <v>44.183</v>
      </c>
      <c r="H50" s="286">
        <f t="shared" si="2"/>
        <v>0</v>
      </c>
      <c r="I50" s="287">
        <f t="shared" si="3"/>
        <v>0</v>
      </c>
      <c r="J50" s="486">
        <f>H50+H51+H52+I50+I51+I52</f>
        <v>0</v>
      </c>
    </row>
    <row r="51" spans="1:10" ht="24.95" customHeight="1" x14ac:dyDescent="0.25">
      <c r="A51" s="484"/>
      <c r="B51" s="275" t="s">
        <v>125</v>
      </c>
      <c r="C51" s="318"/>
      <c r="D51" s="275"/>
      <c r="E51" s="282"/>
      <c r="F51" s="292">
        <f>J3*135%</f>
        <v>51.867000000000004</v>
      </c>
      <c r="G51" s="293">
        <f>J3*115%</f>
        <v>44.183</v>
      </c>
      <c r="H51" s="288">
        <f t="shared" si="2"/>
        <v>0</v>
      </c>
      <c r="I51" s="289">
        <f t="shared" si="3"/>
        <v>0</v>
      </c>
      <c r="J51" s="487"/>
    </row>
    <row r="52" spans="1:10" ht="24.95" customHeight="1" thickBot="1" x14ac:dyDescent="0.3">
      <c r="A52" s="485"/>
      <c r="B52" s="278" t="s">
        <v>124</v>
      </c>
      <c r="C52" s="319"/>
      <c r="D52" s="278"/>
      <c r="E52" s="283"/>
      <c r="F52" s="294">
        <f>J3*135%+20%</f>
        <v>52.067000000000007</v>
      </c>
      <c r="G52" s="295">
        <f>J3*115%+20%</f>
        <v>44.383000000000003</v>
      </c>
      <c r="H52" s="290">
        <f t="shared" si="2"/>
        <v>0</v>
      </c>
      <c r="I52" s="291">
        <f t="shared" si="3"/>
        <v>0</v>
      </c>
      <c r="J52" s="488"/>
    </row>
    <row r="53" spans="1:10" ht="24.95" customHeight="1" x14ac:dyDescent="0.25">
      <c r="A53" s="483">
        <v>16</v>
      </c>
      <c r="B53" s="277" t="s">
        <v>126</v>
      </c>
      <c r="C53" s="317"/>
      <c r="D53" s="277"/>
      <c r="E53" s="281"/>
      <c r="F53" s="286">
        <f>J3*135%</f>
        <v>51.867000000000004</v>
      </c>
      <c r="G53" s="287">
        <f>J3*115%</f>
        <v>44.183</v>
      </c>
      <c r="H53" s="286">
        <f t="shared" si="2"/>
        <v>0</v>
      </c>
      <c r="I53" s="287">
        <f t="shared" si="3"/>
        <v>0</v>
      </c>
      <c r="J53" s="486">
        <f>H53+H54+H55+I53+I54+I55</f>
        <v>0</v>
      </c>
    </row>
    <row r="54" spans="1:10" ht="24.95" customHeight="1" x14ac:dyDescent="0.25">
      <c r="A54" s="484"/>
      <c r="B54" s="275" t="s">
        <v>125</v>
      </c>
      <c r="C54" s="318"/>
      <c r="D54" s="275"/>
      <c r="E54" s="282"/>
      <c r="F54" s="292">
        <f>J3*135%</f>
        <v>51.867000000000004</v>
      </c>
      <c r="G54" s="293">
        <f>J3*115%</f>
        <v>44.183</v>
      </c>
      <c r="H54" s="288">
        <f t="shared" si="2"/>
        <v>0</v>
      </c>
      <c r="I54" s="289">
        <f t="shared" si="3"/>
        <v>0</v>
      </c>
      <c r="J54" s="487"/>
    </row>
    <row r="55" spans="1:10" ht="24.95" customHeight="1" thickBot="1" x14ac:dyDescent="0.3">
      <c r="A55" s="485"/>
      <c r="B55" s="278" t="s">
        <v>124</v>
      </c>
      <c r="C55" s="319"/>
      <c r="D55" s="278"/>
      <c r="E55" s="283"/>
      <c r="F55" s="294">
        <f>J3*135%+20%</f>
        <v>52.067000000000007</v>
      </c>
      <c r="G55" s="295">
        <f>J3*115%+20%</f>
        <v>44.383000000000003</v>
      </c>
      <c r="H55" s="290">
        <f t="shared" si="2"/>
        <v>0</v>
      </c>
      <c r="I55" s="291">
        <f t="shared" si="3"/>
        <v>0</v>
      </c>
      <c r="J55" s="488"/>
    </row>
    <row r="56" spans="1:10" ht="24.95" customHeight="1" x14ac:dyDescent="0.25">
      <c r="A56" s="483">
        <v>17</v>
      </c>
      <c r="B56" s="277" t="s">
        <v>126</v>
      </c>
      <c r="C56" s="317"/>
      <c r="D56" s="277"/>
      <c r="E56" s="281"/>
      <c r="F56" s="286">
        <f>J3*135%</f>
        <v>51.867000000000004</v>
      </c>
      <c r="G56" s="287">
        <f>J3*115%</f>
        <v>44.183</v>
      </c>
      <c r="H56" s="286">
        <f t="shared" si="2"/>
        <v>0</v>
      </c>
      <c r="I56" s="287">
        <f t="shared" si="3"/>
        <v>0</v>
      </c>
      <c r="J56" s="486">
        <f>H56+H57+H58+I56+I57+I58</f>
        <v>0</v>
      </c>
    </row>
    <row r="57" spans="1:10" ht="24.95" customHeight="1" x14ac:dyDescent="0.25">
      <c r="A57" s="484"/>
      <c r="B57" s="275" t="s">
        <v>125</v>
      </c>
      <c r="C57" s="318"/>
      <c r="D57" s="275"/>
      <c r="E57" s="282"/>
      <c r="F57" s="292">
        <f>J3*135%</f>
        <v>51.867000000000004</v>
      </c>
      <c r="G57" s="293">
        <f>J3*115%</f>
        <v>44.183</v>
      </c>
      <c r="H57" s="288">
        <f t="shared" si="2"/>
        <v>0</v>
      </c>
      <c r="I57" s="289">
        <f t="shared" si="3"/>
        <v>0</v>
      </c>
      <c r="J57" s="487"/>
    </row>
    <row r="58" spans="1:10" ht="24.95" customHeight="1" thickBot="1" x14ac:dyDescent="0.3">
      <c r="A58" s="485"/>
      <c r="B58" s="278" t="s">
        <v>124</v>
      </c>
      <c r="C58" s="319"/>
      <c r="D58" s="278"/>
      <c r="E58" s="283"/>
      <c r="F58" s="294">
        <f>J3*135%+20%</f>
        <v>52.067000000000007</v>
      </c>
      <c r="G58" s="295">
        <f>J3*115%+20%</f>
        <v>44.383000000000003</v>
      </c>
      <c r="H58" s="290">
        <f t="shared" si="2"/>
        <v>0</v>
      </c>
      <c r="I58" s="291">
        <f t="shared" si="3"/>
        <v>0</v>
      </c>
      <c r="J58" s="488"/>
    </row>
    <row r="59" spans="1:10" ht="24.95" customHeight="1" x14ac:dyDescent="0.25">
      <c r="A59" s="483">
        <v>18</v>
      </c>
      <c r="B59" s="277" t="s">
        <v>126</v>
      </c>
      <c r="C59" s="317"/>
      <c r="D59" s="277"/>
      <c r="E59" s="281"/>
      <c r="F59" s="286">
        <f>J3*135%</f>
        <v>51.867000000000004</v>
      </c>
      <c r="G59" s="287">
        <f>J3*115%</f>
        <v>44.183</v>
      </c>
      <c r="H59" s="286">
        <f t="shared" si="2"/>
        <v>0</v>
      </c>
      <c r="I59" s="287">
        <f t="shared" si="3"/>
        <v>0</v>
      </c>
      <c r="J59" s="486">
        <f>H59+H60+H61+I59+I60+I61</f>
        <v>0</v>
      </c>
    </row>
    <row r="60" spans="1:10" ht="24.95" customHeight="1" x14ac:dyDescent="0.25">
      <c r="A60" s="484"/>
      <c r="B60" s="275" t="s">
        <v>125</v>
      </c>
      <c r="C60" s="318"/>
      <c r="D60" s="275"/>
      <c r="E60" s="282"/>
      <c r="F60" s="292">
        <f>J3*135%</f>
        <v>51.867000000000004</v>
      </c>
      <c r="G60" s="293">
        <f>J3*115%</f>
        <v>44.183</v>
      </c>
      <c r="H60" s="288">
        <f t="shared" si="2"/>
        <v>0</v>
      </c>
      <c r="I60" s="289">
        <f t="shared" si="3"/>
        <v>0</v>
      </c>
      <c r="J60" s="487"/>
    </row>
    <row r="61" spans="1:10" ht="24.95" customHeight="1" thickBot="1" x14ac:dyDescent="0.3">
      <c r="A61" s="485"/>
      <c r="B61" s="278" t="s">
        <v>124</v>
      </c>
      <c r="C61" s="319"/>
      <c r="D61" s="278"/>
      <c r="E61" s="283"/>
      <c r="F61" s="294">
        <f>J3*135%+20%</f>
        <v>52.067000000000007</v>
      </c>
      <c r="G61" s="295">
        <f>J3*115%+20%</f>
        <v>44.383000000000003</v>
      </c>
      <c r="H61" s="290">
        <f t="shared" si="2"/>
        <v>0</v>
      </c>
      <c r="I61" s="291">
        <f t="shared" si="3"/>
        <v>0</v>
      </c>
      <c r="J61" s="488"/>
    </row>
    <row r="62" spans="1:10" ht="24.95" customHeight="1" x14ac:dyDescent="0.25">
      <c r="A62" s="483">
        <v>19</v>
      </c>
      <c r="B62" s="277" t="s">
        <v>126</v>
      </c>
      <c r="C62" s="317"/>
      <c r="D62" s="277"/>
      <c r="E62" s="281"/>
      <c r="F62" s="286">
        <f>J3*135%</f>
        <v>51.867000000000004</v>
      </c>
      <c r="G62" s="287">
        <f>J3*115%</f>
        <v>44.183</v>
      </c>
      <c r="H62" s="286">
        <f t="shared" si="2"/>
        <v>0</v>
      </c>
      <c r="I62" s="287">
        <f t="shared" si="3"/>
        <v>0</v>
      </c>
      <c r="J62" s="486">
        <f>H62+H63+H64+I62+I63+I64</f>
        <v>0</v>
      </c>
    </row>
    <row r="63" spans="1:10" ht="24.95" customHeight="1" x14ac:dyDescent="0.25">
      <c r="A63" s="484"/>
      <c r="B63" s="275" t="s">
        <v>125</v>
      </c>
      <c r="C63" s="318"/>
      <c r="D63" s="275"/>
      <c r="E63" s="282"/>
      <c r="F63" s="292">
        <f>J3*135%</f>
        <v>51.867000000000004</v>
      </c>
      <c r="G63" s="293">
        <f>J3*115%</f>
        <v>44.183</v>
      </c>
      <c r="H63" s="288">
        <f t="shared" si="2"/>
        <v>0</v>
      </c>
      <c r="I63" s="289">
        <f t="shared" si="3"/>
        <v>0</v>
      </c>
      <c r="J63" s="487"/>
    </row>
    <row r="64" spans="1:10" ht="24.95" customHeight="1" thickBot="1" x14ac:dyDescent="0.3">
      <c r="A64" s="485"/>
      <c r="B64" s="278" t="s">
        <v>124</v>
      </c>
      <c r="C64" s="319"/>
      <c r="D64" s="278"/>
      <c r="E64" s="283"/>
      <c r="F64" s="294">
        <f>J3*135%+20%</f>
        <v>52.067000000000007</v>
      </c>
      <c r="G64" s="295">
        <f>J3*115%+20%</f>
        <v>44.383000000000003</v>
      </c>
      <c r="H64" s="290">
        <f t="shared" si="2"/>
        <v>0</v>
      </c>
      <c r="I64" s="291">
        <f t="shared" si="3"/>
        <v>0</v>
      </c>
      <c r="J64" s="488"/>
    </row>
    <row r="65" spans="1:10" ht="24.95" customHeight="1" x14ac:dyDescent="0.25">
      <c r="A65" s="483">
        <v>20</v>
      </c>
      <c r="B65" s="277" t="s">
        <v>126</v>
      </c>
      <c r="C65" s="317"/>
      <c r="D65" s="277"/>
      <c r="E65" s="281"/>
      <c r="F65" s="286">
        <f>J3*135%</f>
        <v>51.867000000000004</v>
      </c>
      <c r="G65" s="287">
        <f>J3*115%</f>
        <v>44.183</v>
      </c>
      <c r="H65" s="286">
        <f t="shared" si="2"/>
        <v>0</v>
      </c>
      <c r="I65" s="287">
        <f t="shared" si="3"/>
        <v>0</v>
      </c>
      <c r="J65" s="486">
        <f>H65+H66+H67+I65+I66+I67</f>
        <v>0</v>
      </c>
    </row>
    <row r="66" spans="1:10" ht="24.95" customHeight="1" x14ac:dyDescent="0.25">
      <c r="A66" s="484"/>
      <c r="B66" s="275" t="s">
        <v>125</v>
      </c>
      <c r="C66" s="318"/>
      <c r="D66" s="275"/>
      <c r="E66" s="282"/>
      <c r="F66" s="292">
        <f>J3*135%</f>
        <v>51.867000000000004</v>
      </c>
      <c r="G66" s="293">
        <f>J3*115%</f>
        <v>44.183</v>
      </c>
      <c r="H66" s="288">
        <f t="shared" si="2"/>
        <v>0</v>
      </c>
      <c r="I66" s="289">
        <f t="shared" si="3"/>
        <v>0</v>
      </c>
      <c r="J66" s="487"/>
    </row>
    <row r="67" spans="1:10" ht="24.95" customHeight="1" thickBot="1" x14ac:dyDescent="0.3">
      <c r="A67" s="485"/>
      <c r="B67" s="278" t="s">
        <v>124</v>
      </c>
      <c r="C67" s="319"/>
      <c r="D67" s="278"/>
      <c r="E67" s="283"/>
      <c r="F67" s="294">
        <f>J3*135%+20%</f>
        <v>52.067000000000007</v>
      </c>
      <c r="G67" s="295">
        <f>J3*115%+20%</f>
        <v>44.383000000000003</v>
      </c>
      <c r="H67" s="290">
        <f t="shared" si="2"/>
        <v>0</v>
      </c>
      <c r="I67" s="291">
        <f t="shared" si="3"/>
        <v>0</v>
      </c>
      <c r="J67" s="488"/>
    </row>
    <row r="68" spans="1:10" ht="24.95" customHeight="1" x14ac:dyDescent="0.25">
      <c r="A68" s="483">
        <v>21</v>
      </c>
      <c r="B68" s="277" t="s">
        <v>126</v>
      </c>
      <c r="C68" s="317"/>
      <c r="D68" s="277"/>
      <c r="E68" s="281"/>
      <c r="F68" s="286">
        <f>J3*135%</f>
        <v>51.867000000000004</v>
      </c>
      <c r="G68" s="287">
        <f>J3*115%</f>
        <v>44.183</v>
      </c>
      <c r="H68" s="286">
        <f t="shared" si="2"/>
        <v>0</v>
      </c>
      <c r="I68" s="287">
        <f t="shared" si="3"/>
        <v>0</v>
      </c>
      <c r="J68" s="486">
        <f>H68+H69+H70+I68+I69+I70</f>
        <v>0</v>
      </c>
    </row>
    <row r="69" spans="1:10" ht="24.95" customHeight="1" x14ac:dyDescent="0.25">
      <c r="A69" s="484"/>
      <c r="B69" s="275" t="s">
        <v>125</v>
      </c>
      <c r="C69" s="318"/>
      <c r="D69" s="275"/>
      <c r="E69" s="282"/>
      <c r="F69" s="292">
        <f>J3*135%</f>
        <v>51.867000000000004</v>
      </c>
      <c r="G69" s="293">
        <f>J3*115%</f>
        <v>44.183</v>
      </c>
      <c r="H69" s="288">
        <f t="shared" si="2"/>
        <v>0</v>
      </c>
      <c r="I69" s="289">
        <f t="shared" si="3"/>
        <v>0</v>
      </c>
      <c r="J69" s="487"/>
    </row>
    <row r="70" spans="1:10" ht="24.95" customHeight="1" thickBot="1" x14ac:dyDescent="0.3">
      <c r="A70" s="485"/>
      <c r="B70" s="278" t="s">
        <v>124</v>
      </c>
      <c r="C70" s="319"/>
      <c r="D70" s="278"/>
      <c r="E70" s="283"/>
      <c r="F70" s="294">
        <f>J3*135%+20%</f>
        <v>52.067000000000007</v>
      </c>
      <c r="G70" s="295">
        <f>J3*115%+20%</f>
        <v>44.383000000000003</v>
      </c>
      <c r="H70" s="290">
        <f t="shared" si="2"/>
        <v>0</v>
      </c>
      <c r="I70" s="291">
        <f t="shared" si="3"/>
        <v>0</v>
      </c>
      <c r="J70" s="488"/>
    </row>
    <row r="71" spans="1:10" ht="24.95" customHeight="1" x14ac:dyDescent="0.25">
      <c r="A71" s="483">
        <v>22</v>
      </c>
      <c r="B71" s="277" t="s">
        <v>126</v>
      </c>
      <c r="C71" s="317"/>
      <c r="D71" s="277"/>
      <c r="E71" s="281"/>
      <c r="F71" s="286">
        <f>J3*135%</f>
        <v>51.867000000000004</v>
      </c>
      <c r="G71" s="287">
        <f>J3*115%</f>
        <v>44.183</v>
      </c>
      <c r="H71" s="286">
        <f t="shared" si="2"/>
        <v>0</v>
      </c>
      <c r="I71" s="287">
        <f t="shared" si="3"/>
        <v>0</v>
      </c>
      <c r="J71" s="486">
        <f>H71+H72+H73+I71+I72+I73</f>
        <v>0</v>
      </c>
    </row>
    <row r="72" spans="1:10" ht="24.95" customHeight="1" x14ac:dyDescent="0.25">
      <c r="A72" s="484"/>
      <c r="B72" s="275" t="s">
        <v>125</v>
      </c>
      <c r="C72" s="318"/>
      <c r="D72" s="275"/>
      <c r="E72" s="282"/>
      <c r="F72" s="292">
        <f>J3*135%</f>
        <v>51.867000000000004</v>
      </c>
      <c r="G72" s="293">
        <f>J3*115%</f>
        <v>44.183</v>
      </c>
      <c r="H72" s="288">
        <f t="shared" ref="H72:H100" si="4">F72*8*D72</f>
        <v>0</v>
      </c>
      <c r="I72" s="289">
        <f t="shared" ref="I72:I100" si="5">G72*8*E72</f>
        <v>0</v>
      </c>
      <c r="J72" s="487"/>
    </row>
    <row r="73" spans="1:10" ht="24.95" customHeight="1" thickBot="1" x14ac:dyDescent="0.3">
      <c r="A73" s="485"/>
      <c r="B73" s="278" t="s">
        <v>124</v>
      </c>
      <c r="C73" s="319"/>
      <c r="D73" s="278"/>
      <c r="E73" s="283"/>
      <c r="F73" s="294">
        <f>J3*135%+20%</f>
        <v>52.067000000000007</v>
      </c>
      <c r="G73" s="295">
        <f>J3*115%+20%</f>
        <v>44.383000000000003</v>
      </c>
      <c r="H73" s="290">
        <f t="shared" si="4"/>
        <v>0</v>
      </c>
      <c r="I73" s="291">
        <f t="shared" si="5"/>
        <v>0</v>
      </c>
      <c r="J73" s="488"/>
    </row>
    <row r="74" spans="1:10" ht="24.95" customHeight="1" x14ac:dyDescent="0.25">
      <c r="A74" s="483">
        <v>23</v>
      </c>
      <c r="B74" s="277" t="s">
        <v>126</v>
      </c>
      <c r="C74" s="317"/>
      <c r="D74" s="277"/>
      <c r="E74" s="281"/>
      <c r="F74" s="286">
        <f>J3*135%</f>
        <v>51.867000000000004</v>
      </c>
      <c r="G74" s="287">
        <f>J3*115%</f>
        <v>44.183</v>
      </c>
      <c r="H74" s="286">
        <f t="shared" si="4"/>
        <v>0</v>
      </c>
      <c r="I74" s="287">
        <f t="shared" si="5"/>
        <v>0</v>
      </c>
      <c r="J74" s="486">
        <f>H74+H75+H76+I74+I75+I76</f>
        <v>0</v>
      </c>
    </row>
    <row r="75" spans="1:10" ht="24.95" customHeight="1" x14ac:dyDescent="0.25">
      <c r="A75" s="484"/>
      <c r="B75" s="275" t="s">
        <v>125</v>
      </c>
      <c r="C75" s="318"/>
      <c r="D75" s="275"/>
      <c r="E75" s="282"/>
      <c r="F75" s="292">
        <f>J3*135%</f>
        <v>51.867000000000004</v>
      </c>
      <c r="G75" s="293">
        <f>J3*115%</f>
        <v>44.183</v>
      </c>
      <c r="H75" s="288">
        <f t="shared" si="4"/>
        <v>0</v>
      </c>
      <c r="I75" s="289">
        <f t="shared" si="5"/>
        <v>0</v>
      </c>
      <c r="J75" s="487"/>
    </row>
    <row r="76" spans="1:10" ht="24.95" customHeight="1" thickBot="1" x14ac:dyDescent="0.3">
      <c r="A76" s="485"/>
      <c r="B76" s="278" t="s">
        <v>124</v>
      </c>
      <c r="C76" s="319"/>
      <c r="D76" s="278"/>
      <c r="E76" s="283"/>
      <c r="F76" s="294">
        <f>J3*135%+20%</f>
        <v>52.067000000000007</v>
      </c>
      <c r="G76" s="295">
        <f>J3*115%+20%</f>
        <v>44.383000000000003</v>
      </c>
      <c r="H76" s="290">
        <f t="shared" si="4"/>
        <v>0</v>
      </c>
      <c r="I76" s="291">
        <f t="shared" si="5"/>
        <v>0</v>
      </c>
      <c r="J76" s="488"/>
    </row>
    <row r="77" spans="1:10" ht="24.95" customHeight="1" x14ac:dyDescent="0.25">
      <c r="A77" s="483">
        <v>24</v>
      </c>
      <c r="B77" s="277" t="s">
        <v>126</v>
      </c>
      <c r="C77" s="317"/>
      <c r="D77" s="277"/>
      <c r="E77" s="281"/>
      <c r="F77" s="286">
        <f>J3*135%</f>
        <v>51.867000000000004</v>
      </c>
      <c r="G77" s="287">
        <f>J3*115%</f>
        <v>44.183</v>
      </c>
      <c r="H77" s="286">
        <f t="shared" si="4"/>
        <v>0</v>
      </c>
      <c r="I77" s="287">
        <f t="shared" si="5"/>
        <v>0</v>
      </c>
      <c r="J77" s="486">
        <f>H77+H78+H79+I77+I78+I79</f>
        <v>0</v>
      </c>
    </row>
    <row r="78" spans="1:10" ht="24.95" customHeight="1" x14ac:dyDescent="0.25">
      <c r="A78" s="484"/>
      <c r="B78" s="275" t="s">
        <v>125</v>
      </c>
      <c r="C78" s="318"/>
      <c r="D78" s="275"/>
      <c r="E78" s="282"/>
      <c r="F78" s="292">
        <f>J3*135%</f>
        <v>51.867000000000004</v>
      </c>
      <c r="G78" s="293">
        <f>J3*115%</f>
        <v>44.183</v>
      </c>
      <c r="H78" s="288">
        <f t="shared" si="4"/>
        <v>0</v>
      </c>
      <c r="I78" s="289">
        <f t="shared" si="5"/>
        <v>0</v>
      </c>
      <c r="J78" s="487"/>
    </row>
    <row r="79" spans="1:10" ht="24.95" customHeight="1" thickBot="1" x14ac:dyDescent="0.3">
      <c r="A79" s="485"/>
      <c r="B79" s="278" t="s">
        <v>124</v>
      </c>
      <c r="C79" s="319"/>
      <c r="D79" s="278"/>
      <c r="E79" s="283"/>
      <c r="F79" s="294">
        <f>J3*135%+20%</f>
        <v>52.067000000000007</v>
      </c>
      <c r="G79" s="295">
        <f>J3*115%+20%</f>
        <v>44.383000000000003</v>
      </c>
      <c r="H79" s="290">
        <f t="shared" si="4"/>
        <v>0</v>
      </c>
      <c r="I79" s="291">
        <f t="shared" si="5"/>
        <v>0</v>
      </c>
      <c r="J79" s="488"/>
    </row>
    <row r="80" spans="1:10" ht="24.95" customHeight="1" x14ac:dyDescent="0.25">
      <c r="A80" s="483">
        <v>25</v>
      </c>
      <c r="B80" s="277" t="s">
        <v>126</v>
      </c>
      <c r="C80" s="317"/>
      <c r="D80" s="277"/>
      <c r="E80" s="281"/>
      <c r="F80" s="286">
        <f>J3*135%</f>
        <v>51.867000000000004</v>
      </c>
      <c r="G80" s="287">
        <f>J3*115%</f>
        <v>44.183</v>
      </c>
      <c r="H80" s="286">
        <f t="shared" si="4"/>
        <v>0</v>
      </c>
      <c r="I80" s="287">
        <f t="shared" si="5"/>
        <v>0</v>
      </c>
      <c r="J80" s="486">
        <f>H80+H81+H82+I80+I81+I82</f>
        <v>0</v>
      </c>
    </row>
    <row r="81" spans="1:10" ht="24.95" customHeight="1" x14ac:dyDescent="0.25">
      <c r="A81" s="484"/>
      <c r="B81" s="275" t="s">
        <v>125</v>
      </c>
      <c r="C81" s="318"/>
      <c r="D81" s="275"/>
      <c r="E81" s="282"/>
      <c r="F81" s="292">
        <f>J3*135%</f>
        <v>51.867000000000004</v>
      </c>
      <c r="G81" s="293">
        <f>J3*115%</f>
        <v>44.183</v>
      </c>
      <c r="H81" s="288">
        <f t="shared" si="4"/>
        <v>0</v>
      </c>
      <c r="I81" s="289">
        <f t="shared" si="5"/>
        <v>0</v>
      </c>
      <c r="J81" s="487"/>
    </row>
    <row r="82" spans="1:10" ht="24.95" customHeight="1" thickBot="1" x14ac:dyDescent="0.3">
      <c r="A82" s="485"/>
      <c r="B82" s="278" t="s">
        <v>124</v>
      </c>
      <c r="C82" s="319"/>
      <c r="D82" s="278"/>
      <c r="E82" s="283"/>
      <c r="F82" s="294">
        <f>J3*135%+20%</f>
        <v>52.067000000000007</v>
      </c>
      <c r="G82" s="295">
        <f>J3*115%+20%</f>
        <v>44.383000000000003</v>
      </c>
      <c r="H82" s="290">
        <f t="shared" si="4"/>
        <v>0</v>
      </c>
      <c r="I82" s="291">
        <f t="shared" si="5"/>
        <v>0</v>
      </c>
      <c r="J82" s="488"/>
    </row>
    <row r="83" spans="1:10" ht="24.95" customHeight="1" x14ac:dyDescent="0.25">
      <c r="A83" s="483">
        <v>26</v>
      </c>
      <c r="B83" s="277" t="s">
        <v>126</v>
      </c>
      <c r="C83" s="317"/>
      <c r="D83" s="277"/>
      <c r="E83" s="281"/>
      <c r="F83" s="286">
        <f>J3*135%</f>
        <v>51.867000000000004</v>
      </c>
      <c r="G83" s="287">
        <f>J3*115%</f>
        <v>44.183</v>
      </c>
      <c r="H83" s="286">
        <f t="shared" si="4"/>
        <v>0</v>
      </c>
      <c r="I83" s="287">
        <f t="shared" si="5"/>
        <v>0</v>
      </c>
      <c r="J83" s="486">
        <f>H83+H84+H85+I83+I84+I85</f>
        <v>0</v>
      </c>
    </row>
    <row r="84" spans="1:10" ht="24.95" customHeight="1" x14ac:dyDescent="0.25">
      <c r="A84" s="484"/>
      <c r="B84" s="275" t="s">
        <v>125</v>
      </c>
      <c r="C84" s="318"/>
      <c r="D84" s="275"/>
      <c r="E84" s="282"/>
      <c r="F84" s="292">
        <f>J3*135%</f>
        <v>51.867000000000004</v>
      </c>
      <c r="G84" s="293">
        <f>J3*115%</f>
        <v>44.183</v>
      </c>
      <c r="H84" s="288">
        <f t="shared" si="4"/>
        <v>0</v>
      </c>
      <c r="I84" s="289">
        <f t="shared" si="5"/>
        <v>0</v>
      </c>
      <c r="J84" s="487"/>
    </row>
    <row r="85" spans="1:10" ht="24.95" customHeight="1" thickBot="1" x14ac:dyDescent="0.3">
      <c r="A85" s="485"/>
      <c r="B85" s="278" t="s">
        <v>124</v>
      </c>
      <c r="C85" s="319"/>
      <c r="D85" s="278"/>
      <c r="E85" s="283"/>
      <c r="F85" s="294">
        <f>J3*135%+20%</f>
        <v>52.067000000000007</v>
      </c>
      <c r="G85" s="295">
        <f>J3*115%+20%</f>
        <v>44.383000000000003</v>
      </c>
      <c r="H85" s="290">
        <f t="shared" si="4"/>
        <v>0</v>
      </c>
      <c r="I85" s="291">
        <f t="shared" si="5"/>
        <v>0</v>
      </c>
      <c r="J85" s="488"/>
    </row>
    <row r="86" spans="1:10" ht="24.95" customHeight="1" x14ac:dyDescent="0.25">
      <c r="A86" s="483">
        <v>27</v>
      </c>
      <c r="B86" s="277" t="s">
        <v>126</v>
      </c>
      <c r="C86" s="317"/>
      <c r="D86" s="277"/>
      <c r="E86" s="281"/>
      <c r="F86" s="286">
        <f>J3*135%</f>
        <v>51.867000000000004</v>
      </c>
      <c r="G86" s="287">
        <f>J3*115%</f>
        <v>44.183</v>
      </c>
      <c r="H86" s="286">
        <f t="shared" si="4"/>
        <v>0</v>
      </c>
      <c r="I86" s="287">
        <f t="shared" si="5"/>
        <v>0</v>
      </c>
      <c r="J86" s="486">
        <f>H86+H87+H88+I86+I87+I88</f>
        <v>0</v>
      </c>
    </row>
    <row r="87" spans="1:10" ht="24.95" customHeight="1" x14ac:dyDescent="0.25">
      <c r="A87" s="484"/>
      <c r="B87" s="275" t="s">
        <v>125</v>
      </c>
      <c r="C87" s="318"/>
      <c r="D87" s="275"/>
      <c r="E87" s="282"/>
      <c r="F87" s="292">
        <f>J3*135%</f>
        <v>51.867000000000004</v>
      </c>
      <c r="G87" s="293">
        <f>J3*115%</f>
        <v>44.183</v>
      </c>
      <c r="H87" s="288">
        <f t="shared" si="4"/>
        <v>0</v>
      </c>
      <c r="I87" s="289">
        <f t="shared" si="5"/>
        <v>0</v>
      </c>
      <c r="J87" s="487"/>
    </row>
    <row r="88" spans="1:10" ht="24.95" customHeight="1" thickBot="1" x14ac:dyDescent="0.3">
      <c r="A88" s="485"/>
      <c r="B88" s="278" t="s">
        <v>124</v>
      </c>
      <c r="C88" s="319"/>
      <c r="D88" s="278"/>
      <c r="E88" s="283"/>
      <c r="F88" s="294">
        <f>J3*135%+20%</f>
        <v>52.067000000000007</v>
      </c>
      <c r="G88" s="295">
        <f>J3*115%+20%</f>
        <v>44.383000000000003</v>
      </c>
      <c r="H88" s="290">
        <f t="shared" si="4"/>
        <v>0</v>
      </c>
      <c r="I88" s="291">
        <f t="shared" si="5"/>
        <v>0</v>
      </c>
      <c r="J88" s="488"/>
    </row>
    <row r="89" spans="1:10" ht="24.95" customHeight="1" x14ac:dyDescent="0.25">
      <c r="A89" s="483">
        <v>28</v>
      </c>
      <c r="B89" s="277" t="s">
        <v>126</v>
      </c>
      <c r="C89" s="317"/>
      <c r="D89" s="277"/>
      <c r="E89" s="281"/>
      <c r="F89" s="286">
        <f>J3*135%</f>
        <v>51.867000000000004</v>
      </c>
      <c r="G89" s="287">
        <f>J3*115%</f>
        <v>44.183</v>
      </c>
      <c r="H89" s="286">
        <f t="shared" si="4"/>
        <v>0</v>
      </c>
      <c r="I89" s="287">
        <f t="shared" si="5"/>
        <v>0</v>
      </c>
      <c r="J89" s="486">
        <f>H89+H90+H91+I89+I90+I91</f>
        <v>0</v>
      </c>
    </row>
    <row r="90" spans="1:10" ht="24.95" customHeight="1" x14ac:dyDescent="0.25">
      <c r="A90" s="484"/>
      <c r="B90" s="275" t="s">
        <v>125</v>
      </c>
      <c r="C90" s="318"/>
      <c r="D90" s="275"/>
      <c r="E90" s="282"/>
      <c r="F90" s="292">
        <f>J3*135%</f>
        <v>51.867000000000004</v>
      </c>
      <c r="G90" s="293">
        <f>J3*115%</f>
        <v>44.183</v>
      </c>
      <c r="H90" s="288">
        <f t="shared" si="4"/>
        <v>0</v>
      </c>
      <c r="I90" s="289">
        <f t="shared" si="5"/>
        <v>0</v>
      </c>
      <c r="J90" s="487"/>
    </row>
    <row r="91" spans="1:10" ht="24.95" customHeight="1" thickBot="1" x14ac:dyDescent="0.3">
      <c r="A91" s="485"/>
      <c r="B91" s="278" t="s">
        <v>124</v>
      </c>
      <c r="C91" s="319"/>
      <c r="D91" s="278"/>
      <c r="E91" s="283"/>
      <c r="F91" s="294">
        <f>J3*135%+20%</f>
        <v>52.067000000000007</v>
      </c>
      <c r="G91" s="295">
        <f>J3*115%+20%</f>
        <v>44.383000000000003</v>
      </c>
      <c r="H91" s="290">
        <f t="shared" si="4"/>
        <v>0</v>
      </c>
      <c r="I91" s="291">
        <f t="shared" si="5"/>
        <v>0</v>
      </c>
      <c r="J91" s="488"/>
    </row>
    <row r="92" spans="1:10" ht="24.95" customHeight="1" x14ac:dyDescent="0.25">
      <c r="A92" s="483">
        <v>29</v>
      </c>
      <c r="B92" s="277" t="s">
        <v>126</v>
      </c>
      <c r="C92" s="317"/>
      <c r="D92" s="277"/>
      <c r="E92" s="281"/>
      <c r="F92" s="286">
        <f>J3*135%</f>
        <v>51.867000000000004</v>
      </c>
      <c r="G92" s="287">
        <f>J3*115%</f>
        <v>44.183</v>
      </c>
      <c r="H92" s="286">
        <f t="shared" si="4"/>
        <v>0</v>
      </c>
      <c r="I92" s="287">
        <f t="shared" si="5"/>
        <v>0</v>
      </c>
      <c r="J92" s="486">
        <f>H92+H93+H94+I92+I93+I94</f>
        <v>0</v>
      </c>
    </row>
    <row r="93" spans="1:10" ht="24.95" customHeight="1" x14ac:dyDescent="0.25">
      <c r="A93" s="484"/>
      <c r="B93" s="275" t="s">
        <v>125</v>
      </c>
      <c r="C93" s="318"/>
      <c r="D93" s="275"/>
      <c r="E93" s="282"/>
      <c r="F93" s="292">
        <f>J3*135%</f>
        <v>51.867000000000004</v>
      </c>
      <c r="G93" s="293">
        <f>J3*115%</f>
        <v>44.183</v>
      </c>
      <c r="H93" s="288">
        <f t="shared" si="4"/>
        <v>0</v>
      </c>
      <c r="I93" s="289">
        <f t="shared" si="5"/>
        <v>0</v>
      </c>
      <c r="J93" s="487"/>
    </row>
    <row r="94" spans="1:10" ht="24.95" customHeight="1" thickBot="1" x14ac:dyDescent="0.3">
      <c r="A94" s="485"/>
      <c r="B94" s="278" t="s">
        <v>124</v>
      </c>
      <c r="C94" s="319"/>
      <c r="D94" s="278"/>
      <c r="E94" s="283"/>
      <c r="F94" s="294">
        <f>J3*135%+20%</f>
        <v>52.067000000000007</v>
      </c>
      <c r="G94" s="295">
        <f>J3*115%+20%</f>
        <v>44.383000000000003</v>
      </c>
      <c r="H94" s="290">
        <f t="shared" si="4"/>
        <v>0</v>
      </c>
      <c r="I94" s="291">
        <f t="shared" si="5"/>
        <v>0</v>
      </c>
      <c r="J94" s="488"/>
    </row>
    <row r="95" spans="1:10" ht="24.95" customHeight="1" x14ac:dyDescent="0.25">
      <c r="A95" s="483">
        <v>30</v>
      </c>
      <c r="B95" s="277" t="s">
        <v>126</v>
      </c>
      <c r="C95" s="317"/>
      <c r="D95" s="277"/>
      <c r="E95" s="281"/>
      <c r="F95" s="286">
        <f>J3*135%</f>
        <v>51.867000000000004</v>
      </c>
      <c r="G95" s="287">
        <f>J3*115%</f>
        <v>44.183</v>
      </c>
      <c r="H95" s="286">
        <f t="shared" si="4"/>
        <v>0</v>
      </c>
      <c r="I95" s="287">
        <f t="shared" si="5"/>
        <v>0</v>
      </c>
      <c r="J95" s="486">
        <f>H95+H96+H97+I95+I96+I97</f>
        <v>0</v>
      </c>
    </row>
    <row r="96" spans="1:10" ht="24.95" customHeight="1" x14ac:dyDescent="0.25">
      <c r="A96" s="484"/>
      <c r="B96" s="275" t="s">
        <v>125</v>
      </c>
      <c r="C96" s="318"/>
      <c r="D96" s="275"/>
      <c r="E96" s="282"/>
      <c r="F96" s="292">
        <f>J3*135%</f>
        <v>51.867000000000004</v>
      </c>
      <c r="G96" s="293">
        <f>J3*115%</f>
        <v>44.183</v>
      </c>
      <c r="H96" s="288">
        <f t="shared" si="4"/>
        <v>0</v>
      </c>
      <c r="I96" s="289">
        <f t="shared" si="5"/>
        <v>0</v>
      </c>
      <c r="J96" s="487"/>
    </row>
    <row r="97" spans="1:10" ht="24.95" customHeight="1" thickBot="1" x14ac:dyDescent="0.3">
      <c r="A97" s="485"/>
      <c r="B97" s="278" t="s">
        <v>124</v>
      </c>
      <c r="C97" s="319"/>
      <c r="D97" s="278"/>
      <c r="E97" s="283"/>
      <c r="F97" s="294">
        <f>J3*135%+20%</f>
        <v>52.067000000000007</v>
      </c>
      <c r="G97" s="295">
        <f>J3*115%+20%</f>
        <v>44.383000000000003</v>
      </c>
      <c r="H97" s="290">
        <f t="shared" si="4"/>
        <v>0</v>
      </c>
      <c r="I97" s="291">
        <f t="shared" si="5"/>
        <v>0</v>
      </c>
      <c r="J97" s="488"/>
    </row>
    <row r="98" spans="1:10" ht="24.95" customHeight="1" x14ac:dyDescent="0.25">
      <c r="A98" s="483">
        <v>31</v>
      </c>
      <c r="B98" s="277" t="s">
        <v>126</v>
      </c>
      <c r="C98" s="317"/>
      <c r="D98" s="277"/>
      <c r="E98" s="281"/>
      <c r="F98" s="286">
        <f>J3*135%</f>
        <v>51.867000000000004</v>
      </c>
      <c r="G98" s="287">
        <f>J3*115%</f>
        <v>44.183</v>
      </c>
      <c r="H98" s="286">
        <f t="shared" si="4"/>
        <v>0</v>
      </c>
      <c r="I98" s="287">
        <f t="shared" si="5"/>
        <v>0</v>
      </c>
      <c r="J98" s="486">
        <f>H98+H99+H100+I98+I99+I100</f>
        <v>0</v>
      </c>
    </row>
    <row r="99" spans="1:10" ht="24.95" customHeight="1" x14ac:dyDescent="0.25">
      <c r="A99" s="484"/>
      <c r="B99" s="275" t="s">
        <v>125</v>
      </c>
      <c r="C99" s="318"/>
      <c r="D99" s="275"/>
      <c r="E99" s="282"/>
      <c r="F99" s="292">
        <f>J3*135%</f>
        <v>51.867000000000004</v>
      </c>
      <c r="G99" s="293">
        <f>J3*115%</f>
        <v>44.183</v>
      </c>
      <c r="H99" s="288">
        <f t="shared" si="4"/>
        <v>0</v>
      </c>
      <c r="I99" s="289">
        <f t="shared" si="5"/>
        <v>0</v>
      </c>
      <c r="J99" s="487"/>
    </row>
    <row r="100" spans="1:10" ht="24.95" customHeight="1" thickBot="1" x14ac:dyDescent="0.3">
      <c r="A100" s="485"/>
      <c r="B100" s="278" t="s">
        <v>124</v>
      </c>
      <c r="C100" s="319"/>
      <c r="D100" s="278"/>
      <c r="E100" s="283"/>
      <c r="F100" s="294">
        <f>J3*135%+20%</f>
        <v>52.067000000000007</v>
      </c>
      <c r="G100" s="295">
        <f>J3*115%+20%</f>
        <v>44.383000000000003</v>
      </c>
      <c r="H100" s="290">
        <f t="shared" si="4"/>
        <v>0</v>
      </c>
      <c r="I100" s="291">
        <f t="shared" si="5"/>
        <v>0</v>
      </c>
      <c r="J100" s="488"/>
    </row>
    <row r="101" spans="1:10" ht="31.5" customHeight="1" thickBot="1" x14ac:dyDescent="0.3">
      <c r="A101" s="276"/>
      <c r="B101" s="276"/>
      <c r="C101" s="276"/>
      <c r="D101" s="134"/>
      <c r="E101" s="134"/>
      <c r="F101" s="134"/>
      <c r="G101" s="134"/>
      <c r="H101" s="134"/>
      <c r="I101" s="134"/>
      <c r="J101" s="297">
        <f>SUM(J8:J100)</f>
        <v>0</v>
      </c>
    </row>
  </sheetData>
  <mergeCells count="72">
    <mergeCell ref="A98:A100"/>
    <mergeCell ref="J98:J100"/>
    <mergeCell ref="A86:A88"/>
    <mergeCell ref="J86:J88"/>
    <mergeCell ref="A89:A91"/>
    <mergeCell ref="J89:J91"/>
    <mergeCell ref="A92:A94"/>
    <mergeCell ref="J92:J94"/>
    <mergeCell ref="A80:A82"/>
    <mergeCell ref="J80:J82"/>
    <mergeCell ref="A83:A85"/>
    <mergeCell ref="J83:J85"/>
    <mergeCell ref="A95:A97"/>
    <mergeCell ref="J95:J97"/>
    <mergeCell ref="A71:A73"/>
    <mergeCell ref="J71:J73"/>
    <mergeCell ref="A74:A76"/>
    <mergeCell ref="J74:J76"/>
    <mergeCell ref="A77:A79"/>
    <mergeCell ref="J77:J79"/>
    <mergeCell ref="A62:A64"/>
    <mergeCell ref="J62:J64"/>
    <mergeCell ref="A65:A67"/>
    <mergeCell ref="J65:J67"/>
    <mergeCell ref="A68:A70"/>
    <mergeCell ref="J68:J70"/>
    <mergeCell ref="A53:A55"/>
    <mergeCell ref="J53:J55"/>
    <mergeCell ref="A56:A58"/>
    <mergeCell ref="J56:J58"/>
    <mergeCell ref="A59:A61"/>
    <mergeCell ref="J59:J61"/>
    <mergeCell ref="A44:A46"/>
    <mergeCell ref="J44:J46"/>
    <mergeCell ref="A47:A49"/>
    <mergeCell ref="J47:J49"/>
    <mergeCell ref="A50:A52"/>
    <mergeCell ref="J50:J52"/>
    <mergeCell ref="A35:A37"/>
    <mergeCell ref="J35:J37"/>
    <mergeCell ref="A38:A40"/>
    <mergeCell ref="J38:J40"/>
    <mergeCell ref="A41:A43"/>
    <mergeCell ref="J41:J43"/>
    <mergeCell ref="A26:A28"/>
    <mergeCell ref="J26:J28"/>
    <mergeCell ref="A29:A31"/>
    <mergeCell ref="J29:J31"/>
    <mergeCell ref="A32:A34"/>
    <mergeCell ref="J32:J34"/>
    <mergeCell ref="A17:A19"/>
    <mergeCell ref="J17:J19"/>
    <mergeCell ref="A23:A25"/>
    <mergeCell ref="J23:J25"/>
    <mergeCell ref="A20:A22"/>
    <mergeCell ref="J20:J22"/>
    <mergeCell ref="A1:J1"/>
    <mergeCell ref="A3:I3"/>
    <mergeCell ref="A2:J2"/>
    <mergeCell ref="F5:G5"/>
    <mergeCell ref="A14:A16"/>
    <mergeCell ref="J14:J16"/>
    <mergeCell ref="A11:A13"/>
    <mergeCell ref="J11:J13"/>
    <mergeCell ref="J8:J10"/>
    <mergeCell ref="A8:A10"/>
    <mergeCell ref="D5:E5"/>
    <mergeCell ref="H5:I5"/>
    <mergeCell ref="A5:A6"/>
    <mergeCell ref="B5:B6"/>
    <mergeCell ref="C5:C6"/>
    <mergeCell ref="J5:J6"/>
  </mergeCells>
  <pageMargins left="0.78740157480314965" right="0.19685039370078741" top="0.39370078740157483" bottom="0.19685039370078741" header="0" footer="0"/>
  <pageSetup paperSize="9" scale="65" orientation="portrait" r:id="rId1"/>
  <rowBreaks count="1" manualBreakCount="1">
    <brk id="52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AJ226"/>
  <sheetViews>
    <sheetView tabSelected="1" view="pageBreakPreview" zoomScale="90" zoomScaleNormal="90" zoomScaleSheetLayoutView="90" workbookViewId="0">
      <pane ySplit="1" topLeftCell="A29" activePane="bottomLeft" state="frozen"/>
      <selection pane="bottomLeft" activeCell="AC33" sqref="AC33"/>
    </sheetView>
  </sheetViews>
  <sheetFormatPr defaultRowHeight="18" x14ac:dyDescent="0.25"/>
  <cols>
    <col min="1" max="1" width="1.5703125" style="3" customWidth="1"/>
    <col min="2" max="2" width="9.7109375" style="3" customWidth="1"/>
    <col min="3" max="3" width="15.140625" style="139" customWidth="1"/>
    <col min="4" max="4" width="4.7109375" style="3" customWidth="1"/>
    <col min="5" max="5" width="27.85546875" style="3" customWidth="1"/>
    <col min="6" max="6" width="5.140625" style="3" customWidth="1"/>
    <col min="7" max="7" width="1.7109375" style="48" customWidth="1"/>
    <col min="8" max="8" width="4.7109375" style="3" customWidth="1"/>
    <col min="9" max="9" width="25.7109375" style="3" customWidth="1"/>
    <col min="10" max="10" width="4.5703125" style="3" customWidth="1"/>
    <col min="11" max="11" width="1.7109375" style="6" customWidth="1"/>
    <col min="12" max="12" width="4.7109375" style="3" customWidth="1"/>
    <col min="13" max="13" width="25.7109375" style="3" customWidth="1"/>
    <col min="14" max="14" width="4.7109375" style="3" customWidth="1"/>
    <col min="15" max="15" width="1.7109375" style="3" customWidth="1"/>
    <col min="16" max="16" width="4.7109375" style="3" customWidth="1"/>
    <col min="17" max="17" width="25.7109375" style="3" customWidth="1"/>
    <col min="18" max="18" width="4.7109375" style="3" customWidth="1"/>
    <col min="19" max="19" width="1.7109375" style="3" customWidth="1"/>
    <col min="20" max="20" width="4.7109375" style="3" customWidth="1"/>
    <col min="21" max="21" width="25.7109375" style="3" customWidth="1"/>
    <col min="22" max="22" width="4.7109375" style="3" customWidth="1"/>
    <col min="23" max="23" width="1.7109375" style="3" customWidth="1"/>
    <col min="24" max="24" width="4.7109375" style="3" customWidth="1"/>
    <col min="25" max="25" width="25.7109375" style="3" customWidth="1"/>
    <col min="26" max="26" width="4.7109375" style="3" customWidth="1"/>
    <col min="27" max="27" width="1.7109375" style="3" customWidth="1"/>
    <col min="28" max="28" width="4.7109375" style="3" customWidth="1"/>
    <col min="29" max="29" width="25.7109375" style="3" customWidth="1"/>
    <col min="30" max="30" width="4.5703125" style="3" customWidth="1"/>
    <col min="31" max="31" width="2.140625" style="3" customWidth="1"/>
    <col min="32" max="16384" width="9.140625" style="3"/>
  </cols>
  <sheetData>
    <row r="1" spans="1:34" ht="45.75" customHeight="1" x14ac:dyDescent="0.25">
      <c r="A1" s="6"/>
      <c r="B1" s="2"/>
      <c r="C1" s="544" t="s">
        <v>137</v>
      </c>
      <c r="D1" s="544"/>
      <c r="E1" s="544"/>
      <c r="F1" s="544"/>
      <c r="G1" s="544"/>
      <c r="H1" s="544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  <c r="W1" s="545"/>
      <c r="X1" s="545"/>
      <c r="Y1" s="545"/>
      <c r="Z1" s="545"/>
      <c r="AA1" s="545"/>
      <c r="AB1" s="545"/>
      <c r="AC1" s="545"/>
      <c r="AD1" s="545"/>
      <c r="AE1" s="546"/>
    </row>
    <row r="2" spans="1:34" ht="6.75" customHeight="1" thickBot="1" x14ac:dyDescent="0.3">
      <c r="A2" s="6">
        <v>1</v>
      </c>
      <c r="B2" s="2"/>
      <c r="C2" s="134"/>
      <c r="D2" s="2"/>
      <c r="E2" s="2"/>
      <c r="F2" s="2"/>
      <c r="H2" s="2"/>
      <c r="I2" s="2"/>
      <c r="J2" s="2"/>
      <c r="L2" s="2"/>
      <c r="M2" s="2"/>
      <c r="N2" s="2"/>
      <c r="O2" s="6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4" s="5" customFormat="1" ht="18.75" thickBot="1" x14ac:dyDescent="0.3">
      <c r="A3" s="47"/>
      <c r="B3" s="4"/>
      <c r="C3" s="135"/>
      <c r="D3" s="153"/>
      <c r="E3" s="151" t="s">
        <v>6</v>
      </c>
      <c r="F3" s="152"/>
      <c r="G3" s="46"/>
      <c r="H3" s="153"/>
      <c r="I3" s="154" t="s">
        <v>1</v>
      </c>
      <c r="J3" s="152"/>
      <c r="K3" s="47"/>
      <c r="L3" s="153"/>
      <c r="M3" s="154" t="s">
        <v>2</v>
      </c>
      <c r="N3" s="152"/>
      <c r="O3" s="47"/>
      <c r="P3" s="153"/>
      <c r="Q3" s="154" t="s">
        <v>3</v>
      </c>
      <c r="R3" s="152"/>
      <c r="S3" s="47"/>
      <c r="T3" s="97"/>
      <c r="U3" s="98" t="s">
        <v>4</v>
      </c>
      <c r="V3" s="96"/>
      <c r="W3" s="47"/>
      <c r="X3" s="153"/>
      <c r="Y3" s="154" t="s">
        <v>5</v>
      </c>
      <c r="Z3" s="152"/>
      <c r="AA3" s="47"/>
      <c r="AB3" s="153"/>
      <c r="AC3" s="154" t="s">
        <v>7</v>
      </c>
      <c r="AD3" s="152"/>
      <c r="AE3" s="4"/>
    </row>
    <row r="4" spans="1:34" ht="18.75" thickBot="1" x14ac:dyDescent="0.3">
      <c r="A4" s="6"/>
      <c r="B4" s="2"/>
      <c r="C4" s="134"/>
      <c r="D4" s="328"/>
      <c r="E4" s="329"/>
      <c r="F4" s="330"/>
      <c r="G4" s="41"/>
      <c r="H4" s="328"/>
      <c r="I4" s="329"/>
      <c r="J4" s="330"/>
      <c r="K4" s="41"/>
      <c r="L4" s="328"/>
      <c r="M4" s="329"/>
      <c r="N4" s="330"/>
      <c r="O4" s="41"/>
      <c r="P4" s="53"/>
      <c r="Q4" s="59">
        <v>1</v>
      </c>
      <c r="R4" s="60"/>
      <c r="S4" s="41"/>
      <c r="T4" s="53"/>
      <c r="U4" s="59">
        <v>2</v>
      </c>
      <c r="V4" s="60"/>
      <c r="W4" s="41"/>
      <c r="X4" s="53"/>
      <c r="Y4" s="59">
        <v>3</v>
      </c>
      <c r="Z4" s="60"/>
      <c r="AA4" s="41"/>
      <c r="AB4" s="144"/>
      <c r="AC4" s="146">
        <v>4</v>
      </c>
      <c r="AD4" s="145"/>
      <c r="AE4" s="2"/>
    </row>
    <row r="5" spans="1:34" ht="21.95" customHeight="1" x14ac:dyDescent="0.25">
      <c r="A5" s="6"/>
      <c r="B5" s="2"/>
      <c r="C5" s="500" t="s">
        <v>46</v>
      </c>
      <c r="D5" s="155"/>
      <c r="E5" s="185"/>
      <c r="F5" s="156"/>
      <c r="G5" s="368"/>
      <c r="H5" s="155"/>
      <c r="I5" s="185"/>
      <c r="J5" s="156"/>
      <c r="K5" s="368"/>
      <c r="L5" s="155"/>
      <c r="M5" s="185"/>
      <c r="N5" s="156"/>
      <c r="O5" s="368"/>
      <c r="P5" s="441">
        <v>0</v>
      </c>
      <c r="Q5" s="442">
        <v>8350542</v>
      </c>
      <c r="R5" s="443">
        <v>2</v>
      </c>
      <c r="S5" s="368"/>
      <c r="T5" s="441">
        <v>0</v>
      </c>
      <c r="U5" s="442">
        <v>8350543</v>
      </c>
      <c r="V5" s="443">
        <v>3</v>
      </c>
      <c r="W5" s="368"/>
      <c r="X5" s="441">
        <v>0</v>
      </c>
      <c r="Y5" s="442">
        <v>8350544</v>
      </c>
      <c r="Z5" s="443">
        <v>2</v>
      </c>
      <c r="AA5" s="368"/>
      <c r="AB5" s="441">
        <v>0</v>
      </c>
      <c r="AC5" s="442">
        <v>8350545</v>
      </c>
      <c r="AD5" s="443">
        <v>2</v>
      </c>
      <c r="AE5" s="2"/>
    </row>
    <row r="6" spans="1:34" ht="21.95" customHeight="1" x14ac:dyDescent="0.25">
      <c r="A6" s="6"/>
      <c r="B6" s="2"/>
      <c r="C6" s="501"/>
      <c r="D6" s="157"/>
      <c r="E6" s="186"/>
      <c r="F6" s="158"/>
      <c r="G6" s="368"/>
      <c r="H6" s="157"/>
      <c r="I6" s="186"/>
      <c r="J6" s="158"/>
      <c r="K6" s="368"/>
      <c r="L6" s="157"/>
      <c r="M6" s="186"/>
      <c r="N6" s="158"/>
      <c r="O6" s="368"/>
      <c r="P6" s="446">
        <v>0</v>
      </c>
      <c r="Q6" s="447">
        <v>8350785</v>
      </c>
      <c r="R6" s="448">
        <v>2</v>
      </c>
      <c r="S6" s="368"/>
      <c r="T6" s="446">
        <v>0</v>
      </c>
      <c r="U6" s="447">
        <v>8350786</v>
      </c>
      <c r="V6" s="448">
        <v>2</v>
      </c>
      <c r="W6" s="368"/>
      <c r="X6" s="446">
        <v>0</v>
      </c>
      <c r="Y6" s="447">
        <v>8350787</v>
      </c>
      <c r="Z6" s="448">
        <v>3</v>
      </c>
      <c r="AA6" s="368"/>
      <c r="AB6" s="446">
        <v>0</v>
      </c>
      <c r="AC6" s="447">
        <v>8350788</v>
      </c>
      <c r="AD6" s="448">
        <v>4</v>
      </c>
      <c r="AE6" s="2"/>
    </row>
    <row r="7" spans="1:34" ht="21.95" customHeight="1" thickBot="1" x14ac:dyDescent="0.3">
      <c r="A7" s="6"/>
      <c r="B7" s="2"/>
      <c r="C7" s="502"/>
      <c r="D7" s="157"/>
      <c r="E7" s="186"/>
      <c r="F7" s="158"/>
      <c r="G7" s="368"/>
      <c r="H7" s="157"/>
      <c r="I7" s="186"/>
      <c r="J7" s="158"/>
      <c r="K7" s="368"/>
      <c r="L7" s="157"/>
      <c r="M7" s="186"/>
      <c r="N7" s="158"/>
      <c r="O7" s="368"/>
      <c r="P7" s="446">
        <v>0</v>
      </c>
      <c r="Q7" s="447">
        <v>8351258</v>
      </c>
      <c r="R7" s="448">
        <v>3</v>
      </c>
      <c r="S7" s="368"/>
      <c r="T7" s="446">
        <v>0</v>
      </c>
      <c r="U7" s="447">
        <v>8351259</v>
      </c>
      <c r="V7" s="448">
        <v>2</v>
      </c>
      <c r="W7" s="368"/>
      <c r="X7" s="446">
        <v>0</v>
      </c>
      <c r="Y7" s="447">
        <v>8351260</v>
      </c>
      <c r="Z7" s="448">
        <v>1</v>
      </c>
      <c r="AA7" s="368"/>
      <c r="AB7" s="446">
        <v>0</v>
      </c>
      <c r="AC7" s="447">
        <v>8351261</v>
      </c>
      <c r="AD7" s="448">
        <v>2</v>
      </c>
      <c r="AE7" s="2"/>
    </row>
    <row r="8" spans="1:34" ht="30" customHeight="1" x14ac:dyDescent="0.25">
      <c r="A8" s="6"/>
      <c r="B8" s="2"/>
      <c r="C8" s="506" t="s">
        <v>55</v>
      </c>
      <c r="D8" s="155"/>
      <c r="E8" s="331"/>
      <c r="F8" s="156"/>
      <c r="G8" s="41"/>
      <c r="H8" s="155"/>
      <c r="I8" s="331"/>
      <c r="J8" s="156"/>
      <c r="K8" s="41"/>
      <c r="L8" s="155"/>
      <c r="M8" s="331"/>
      <c r="N8" s="156"/>
      <c r="O8" s="41"/>
      <c r="P8" s="320"/>
      <c r="Q8" s="321"/>
      <c r="R8" s="322"/>
      <c r="S8" s="41"/>
      <c r="T8" s="320"/>
      <c r="U8" s="321"/>
      <c r="V8" s="322"/>
      <c r="W8" s="41"/>
      <c r="X8" s="320"/>
      <c r="Y8" s="321"/>
      <c r="Z8" s="322"/>
      <c r="AA8" s="41"/>
      <c r="AB8" s="320"/>
      <c r="AC8" s="321"/>
      <c r="AD8" s="322"/>
      <c r="AE8" s="2"/>
    </row>
    <row r="9" spans="1:34" ht="30" customHeight="1" x14ac:dyDescent="0.25">
      <c r="A9" s="6"/>
      <c r="B9" s="2"/>
      <c r="C9" s="507"/>
      <c r="D9" s="157"/>
      <c r="E9" s="315"/>
      <c r="F9" s="316"/>
      <c r="G9" s="41"/>
      <c r="H9" s="157"/>
      <c r="I9" s="315"/>
      <c r="J9" s="316"/>
      <c r="K9" s="41"/>
      <c r="L9" s="157"/>
      <c r="M9" s="315"/>
      <c r="N9" s="316"/>
      <c r="O9" s="41"/>
      <c r="P9" s="263"/>
      <c r="Q9" s="323"/>
      <c r="R9" s="324"/>
      <c r="S9" s="41"/>
      <c r="T9" s="263"/>
      <c r="U9" s="323"/>
      <c r="V9" s="324"/>
      <c r="W9" s="41"/>
      <c r="X9" s="263"/>
      <c r="Y9" s="323"/>
      <c r="Z9" s="324"/>
      <c r="AA9" s="41"/>
      <c r="AB9" s="263"/>
      <c r="AC9" s="323"/>
      <c r="AD9" s="324"/>
      <c r="AE9" s="2"/>
    </row>
    <row r="10" spans="1:34" ht="30" customHeight="1" thickBot="1" x14ac:dyDescent="0.3">
      <c r="A10" s="6"/>
      <c r="B10" s="2"/>
      <c r="C10" s="508"/>
      <c r="D10" s="157"/>
      <c r="E10" s="315"/>
      <c r="F10" s="316"/>
      <c r="G10" s="41"/>
      <c r="H10" s="157"/>
      <c r="I10" s="315"/>
      <c r="J10" s="316"/>
      <c r="K10" s="41"/>
      <c r="L10" s="157"/>
      <c r="M10" s="315"/>
      <c r="N10" s="316"/>
      <c r="O10" s="41"/>
      <c r="P10" s="346"/>
      <c r="Q10" s="347"/>
      <c r="R10" s="348"/>
      <c r="S10" s="41"/>
      <c r="T10" s="263"/>
      <c r="U10" s="323"/>
      <c r="V10" s="324"/>
      <c r="W10" s="41"/>
      <c r="X10" s="263"/>
      <c r="Y10" s="323"/>
      <c r="Z10" s="324"/>
      <c r="AA10" s="41"/>
      <c r="AB10" s="263"/>
      <c r="AC10" s="323"/>
      <c r="AD10" s="324"/>
      <c r="AE10" s="2"/>
    </row>
    <row r="11" spans="1:34" ht="30" customHeight="1" x14ac:dyDescent="0.25">
      <c r="A11" s="6"/>
      <c r="B11" s="2"/>
      <c r="C11" s="655"/>
      <c r="D11" s="264"/>
      <c r="E11" s="190"/>
      <c r="F11" s="160"/>
      <c r="G11" s="45"/>
      <c r="H11" s="264"/>
      <c r="I11" s="190"/>
      <c r="J11" s="160"/>
      <c r="K11" s="45"/>
      <c r="L11" s="264"/>
      <c r="M11" s="190"/>
      <c r="N11" s="160"/>
      <c r="O11" s="45"/>
      <c r="P11" s="354"/>
      <c r="Q11" s="8"/>
      <c r="R11" s="355"/>
      <c r="S11" s="45"/>
      <c r="T11" s="452"/>
      <c r="U11" s="445" t="s">
        <v>141</v>
      </c>
      <c r="V11" s="453"/>
      <c r="W11" s="45"/>
      <c r="X11" s="51"/>
      <c r="Y11" s="8"/>
      <c r="Z11" s="56"/>
      <c r="AA11" s="56"/>
      <c r="AB11" s="377"/>
      <c r="AC11" s="341"/>
      <c r="AD11" s="378"/>
      <c r="AE11" s="2"/>
      <c r="AG11" s="183"/>
      <c r="AH11" s="181"/>
    </row>
    <row r="12" spans="1:34" ht="30" customHeight="1" x14ac:dyDescent="0.25">
      <c r="A12" s="6"/>
      <c r="B12" s="2"/>
      <c r="C12" s="510"/>
      <c r="D12" s="157"/>
      <c r="E12" s="221"/>
      <c r="F12" s="236"/>
      <c r="G12" s="45"/>
      <c r="H12" s="157"/>
      <c r="I12" s="221"/>
      <c r="J12" s="236"/>
      <c r="K12" s="45"/>
      <c r="L12" s="157"/>
      <c r="M12" s="221"/>
      <c r="N12" s="236"/>
      <c r="O12" s="45"/>
      <c r="P12" s="349"/>
      <c r="Q12" s="345"/>
      <c r="R12" s="350"/>
      <c r="S12" s="45"/>
      <c r="T12" s="102"/>
      <c r="U12" s="40"/>
      <c r="V12" s="103"/>
      <c r="W12" s="45"/>
      <c r="X12" s="102"/>
      <c r="Y12" s="40"/>
      <c r="Z12" s="103"/>
      <c r="AA12" s="103"/>
      <c r="AB12" s="102"/>
      <c r="AC12" s="40"/>
      <c r="AD12" s="103"/>
      <c r="AE12" s="2"/>
      <c r="AG12" s="183"/>
      <c r="AH12" s="182"/>
    </row>
    <row r="13" spans="1:34" ht="30" customHeight="1" thickBot="1" x14ac:dyDescent="0.3">
      <c r="A13" s="6"/>
      <c r="B13" s="2"/>
      <c r="C13" s="510"/>
      <c r="D13" s="187"/>
      <c r="E13" s="222"/>
      <c r="F13" s="188"/>
      <c r="G13" s="45"/>
      <c r="H13" s="187"/>
      <c r="I13" s="222"/>
      <c r="J13" s="188"/>
      <c r="K13" s="45"/>
      <c r="L13" s="187"/>
      <c r="M13" s="222"/>
      <c r="N13" s="188"/>
      <c r="O13" s="372"/>
      <c r="P13" s="449"/>
      <c r="Q13" s="450" t="s">
        <v>142</v>
      </c>
      <c r="R13" s="451"/>
      <c r="S13" s="45"/>
      <c r="T13" s="380"/>
      <c r="U13" s="374"/>
      <c r="V13" s="381"/>
      <c r="W13" s="45"/>
      <c r="X13" s="52"/>
      <c r="Y13" s="9"/>
      <c r="Z13" s="95"/>
      <c r="AA13" s="95"/>
      <c r="AB13" s="52"/>
      <c r="AC13" s="9"/>
      <c r="AD13" s="95"/>
      <c r="AE13" s="2"/>
    </row>
    <row r="14" spans="1:34" ht="56.25" customHeight="1" x14ac:dyDescent="0.25">
      <c r="A14" s="6"/>
      <c r="B14" s="2"/>
      <c r="C14" s="509"/>
      <c r="D14" s="332"/>
      <c r="E14" s="190"/>
      <c r="F14" s="156"/>
      <c r="G14" s="45"/>
      <c r="H14" s="332"/>
      <c r="I14" s="190"/>
      <c r="J14" s="156"/>
      <c r="K14" s="45"/>
      <c r="L14" s="332"/>
      <c r="M14" s="190"/>
      <c r="N14" s="156"/>
      <c r="O14" s="45"/>
      <c r="P14" s="343"/>
      <c r="Q14" s="40"/>
      <c r="R14" s="344"/>
      <c r="S14" s="45"/>
      <c r="T14" s="161"/>
      <c r="U14" s="8"/>
      <c r="V14" s="57"/>
      <c r="W14" s="45"/>
      <c r="X14" s="161"/>
      <c r="Y14" s="8"/>
      <c r="Z14" s="57"/>
      <c r="AA14" s="45"/>
      <c r="AB14" s="340"/>
      <c r="AC14" s="341"/>
      <c r="AD14" s="342"/>
      <c r="AE14" s="2"/>
      <c r="AG14" s="183">
        <f>D17+H17+L17+P17+T17+X17+AB17</f>
        <v>0</v>
      </c>
      <c r="AH14" s="181" t="s">
        <v>61</v>
      </c>
    </row>
    <row r="15" spans="1:34" ht="45" customHeight="1" x14ac:dyDescent="0.25">
      <c r="A15" s="6"/>
      <c r="B15" s="2"/>
      <c r="C15" s="510"/>
      <c r="D15" s="260"/>
      <c r="E15" s="221"/>
      <c r="F15" s="261"/>
      <c r="G15" s="45"/>
      <c r="H15" s="260"/>
      <c r="I15" s="221"/>
      <c r="J15" s="261"/>
      <c r="K15" s="45"/>
      <c r="L15" s="260"/>
      <c r="M15" s="221"/>
      <c r="N15" s="261"/>
      <c r="O15" s="45"/>
      <c r="P15" s="55"/>
      <c r="Q15" s="40"/>
      <c r="R15" s="58"/>
      <c r="S15" s="45"/>
      <c r="T15" s="55"/>
      <c r="U15" s="40"/>
      <c r="V15" s="58"/>
      <c r="W15" s="45"/>
      <c r="X15" s="55"/>
      <c r="Y15" s="40"/>
      <c r="Z15" s="58"/>
      <c r="AA15" s="45"/>
      <c r="AB15" s="55"/>
      <c r="AC15" s="40"/>
      <c r="AD15" s="58"/>
      <c r="AE15" s="2"/>
      <c r="AG15" s="183">
        <f>F17+J17+N17+R17+V17+Z17+AD17</f>
        <v>28</v>
      </c>
      <c r="AH15" s="182" t="s">
        <v>62</v>
      </c>
    </row>
    <row r="16" spans="1:34" ht="45" customHeight="1" thickBot="1" x14ac:dyDescent="0.3">
      <c r="A16" s="6"/>
      <c r="B16" s="2"/>
      <c r="C16" s="510"/>
      <c r="D16" s="159"/>
      <c r="E16" s="222"/>
      <c r="F16" s="333"/>
      <c r="G16" s="45"/>
      <c r="H16" s="159"/>
      <c r="I16" s="222"/>
      <c r="J16" s="333"/>
      <c r="K16" s="45"/>
      <c r="L16" s="159"/>
      <c r="M16" s="222"/>
      <c r="N16" s="333"/>
      <c r="O16" s="45"/>
      <c r="P16" s="50"/>
      <c r="Q16" s="9"/>
      <c r="R16" s="133"/>
      <c r="S16" s="45"/>
      <c r="T16" s="373"/>
      <c r="U16" s="374"/>
      <c r="V16" s="375"/>
      <c r="W16" s="45"/>
      <c r="X16" s="50"/>
      <c r="Y16" s="9"/>
      <c r="Z16" s="133"/>
      <c r="AA16" s="45"/>
      <c r="AB16" s="50"/>
      <c r="AC16" s="9"/>
      <c r="AD16" s="133"/>
      <c r="AE16" s="2"/>
    </row>
    <row r="17" spans="1:34" s="180" customFormat="1" ht="20.25" customHeight="1" thickBot="1" x14ac:dyDescent="0.3">
      <c r="A17" s="179"/>
      <c r="B17" s="176"/>
      <c r="C17" s="177"/>
      <c r="D17" s="178">
        <f>SUM(D4:D16)</f>
        <v>0</v>
      </c>
      <c r="E17" s="176"/>
      <c r="F17" s="178">
        <f>SUM(F5:F16)</f>
        <v>0</v>
      </c>
      <c r="G17" s="179"/>
      <c r="H17" s="178">
        <f>SUM(H4:H16)</f>
        <v>0</v>
      </c>
      <c r="I17" s="176"/>
      <c r="J17" s="178">
        <f>SUM(J5:J16)</f>
        <v>0</v>
      </c>
      <c r="K17" s="179"/>
      <c r="L17" s="178">
        <f>SUM(L4:L16)</f>
        <v>0</v>
      </c>
      <c r="M17" s="176"/>
      <c r="N17" s="178">
        <f>SUM(N5:N16)</f>
        <v>0</v>
      </c>
      <c r="O17" s="179"/>
      <c r="P17" s="178">
        <f>SUM(P4:P16)</f>
        <v>0</v>
      </c>
      <c r="Q17" s="176"/>
      <c r="R17" s="178">
        <f>SUM(R5:R16)</f>
        <v>7</v>
      </c>
      <c r="S17" s="179"/>
      <c r="T17" s="178">
        <f>SUM(T4:T16)</f>
        <v>0</v>
      </c>
      <c r="U17" s="176"/>
      <c r="V17" s="178">
        <f>SUM(V5:V16)</f>
        <v>7</v>
      </c>
      <c r="W17" s="179"/>
      <c r="X17" s="178">
        <f>SUM(X4:X16)</f>
        <v>0</v>
      </c>
      <c r="Y17" s="176"/>
      <c r="Z17" s="178">
        <f>SUM(Z5:Z16)</f>
        <v>6</v>
      </c>
      <c r="AA17" s="179"/>
      <c r="AB17" s="178">
        <f>SUM(AB4:AB16)</f>
        <v>0</v>
      </c>
      <c r="AC17" s="176"/>
      <c r="AD17" s="178">
        <f>SUM(AD5:AD16)</f>
        <v>8</v>
      </c>
      <c r="AE17" s="176"/>
    </row>
    <row r="18" spans="1:34" ht="18.75" thickBot="1" x14ac:dyDescent="0.3">
      <c r="A18" s="6"/>
      <c r="B18" s="2"/>
      <c r="C18" s="136"/>
      <c r="D18" s="53"/>
      <c r="E18" s="44">
        <v>5</v>
      </c>
      <c r="F18" s="54"/>
      <c r="G18" s="46"/>
      <c r="H18" s="53"/>
      <c r="I18" s="42">
        <v>6</v>
      </c>
      <c r="J18" s="54"/>
      <c r="K18" s="47"/>
      <c r="L18" s="53"/>
      <c r="M18" s="42">
        <v>7</v>
      </c>
      <c r="N18" s="54"/>
      <c r="O18" s="47"/>
      <c r="P18" s="53"/>
      <c r="Q18" s="59">
        <v>8</v>
      </c>
      <c r="R18" s="54"/>
      <c r="S18" s="47"/>
      <c r="T18" s="53"/>
      <c r="U18" s="59">
        <v>9</v>
      </c>
      <c r="V18" s="54"/>
      <c r="W18" s="47"/>
      <c r="X18" s="53"/>
      <c r="Y18" s="42">
        <v>10</v>
      </c>
      <c r="Z18" s="54"/>
      <c r="AA18" s="47"/>
      <c r="AB18" s="53"/>
      <c r="AC18" s="42">
        <v>11</v>
      </c>
      <c r="AD18" s="54"/>
      <c r="AE18" s="2"/>
    </row>
    <row r="19" spans="1:34" ht="21.95" customHeight="1" x14ac:dyDescent="0.25">
      <c r="A19" s="6"/>
      <c r="B19" s="2"/>
      <c r="C19" s="500" t="s">
        <v>46</v>
      </c>
      <c r="D19" s="441">
        <v>0</v>
      </c>
      <c r="E19" s="442">
        <v>8350546</v>
      </c>
      <c r="F19" s="443">
        <v>2</v>
      </c>
      <c r="G19" s="368"/>
      <c r="H19" s="441">
        <v>0</v>
      </c>
      <c r="I19" s="442">
        <v>8350548</v>
      </c>
      <c r="J19" s="443">
        <v>2</v>
      </c>
      <c r="K19" s="368"/>
      <c r="L19" s="441">
        <v>0</v>
      </c>
      <c r="M19" s="442">
        <v>8350549</v>
      </c>
      <c r="N19" s="443">
        <v>2</v>
      </c>
      <c r="O19" s="368"/>
      <c r="P19" s="413">
        <v>0</v>
      </c>
      <c r="Q19" s="414">
        <v>8350551</v>
      </c>
      <c r="R19" s="415">
        <v>4</v>
      </c>
      <c r="S19" s="368"/>
      <c r="T19" s="413">
        <v>0</v>
      </c>
      <c r="U19" s="414">
        <v>8350553</v>
      </c>
      <c r="V19" s="415">
        <v>2</v>
      </c>
      <c r="W19" s="368"/>
      <c r="X19" s="413">
        <v>0</v>
      </c>
      <c r="Y19" s="414">
        <v>8350555</v>
      </c>
      <c r="Z19" s="415">
        <v>3</v>
      </c>
      <c r="AA19" s="368"/>
      <c r="AB19" s="413">
        <v>0</v>
      </c>
      <c r="AC19" s="414">
        <v>8350557</v>
      </c>
      <c r="AD19" s="415">
        <v>3</v>
      </c>
      <c r="AE19" s="2"/>
      <c r="AF19" s="647"/>
      <c r="AG19" s="5"/>
    </row>
    <row r="20" spans="1:34" ht="21.95" customHeight="1" x14ac:dyDescent="0.25">
      <c r="A20" s="6"/>
      <c r="B20" s="2"/>
      <c r="C20" s="501"/>
      <c r="D20" s="446">
        <v>0</v>
      </c>
      <c r="E20" s="447">
        <v>8350789</v>
      </c>
      <c r="F20" s="448">
        <v>2</v>
      </c>
      <c r="G20" s="368"/>
      <c r="H20" s="446">
        <v>0</v>
      </c>
      <c r="I20" s="447">
        <v>8350790</v>
      </c>
      <c r="J20" s="448">
        <v>2</v>
      </c>
      <c r="K20" s="368"/>
      <c r="L20" s="446">
        <v>0</v>
      </c>
      <c r="M20" s="447">
        <v>8350791</v>
      </c>
      <c r="N20" s="448">
        <v>2</v>
      </c>
      <c r="O20" s="368"/>
      <c r="P20" s="419">
        <v>0</v>
      </c>
      <c r="Q20" s="420">
        <v>8350792</v>
      </c>
      <c r="R20" s="421">
        <v>2</v>
      </c>
      <c r="S20" s="368"/>
      <c r="T20" s="419">
        <v>0</v>
      </c>
      <c r="U20" s="420">
        <v>8350793</v>
      </c>
      <c r="V20" s="421">
        <v>2</v>
      </c>
      <c r="W20" s="368"/>
      <c r="X20" s="419">
        <v>0</v>
      </c>
      <c r="Y20" s="420">
        <v>8350794</v>
      </c>
      <c r="Z20" s="421">
        <v>2</v>
      </c>
      <c r="AA20" s="368"/>
      <c r="AB20" s="419">
        <v>0</v>
      </c>
      <c r="AC20" s="420">
        <v>8350795</v>
      </c>
      <c r="AD20" s="421">
        <v>8</v>
      </c>
      <c r="AE20" s="2"/>
      <c r="AF20" s="539"/>
      <c r="AG20" s="5"/>
    </row>
    <row r="21" spans="1:34" ht="21.95" customHeight="1" thickBot="1" x14ac:dyDescent="0.3">
      <c r="A21" s="6"/>
      <c r="B21" s="2"/>
      <c r="C21" s="502"/>
      <c r="D21" s="446">
        <v>0</v>
      </c>
      <c r="E21" s="447">
        <v>8351262</v>
      </c>
      <c r="F21" s="448">
        <v>2</v>
      </c>
      <c r="G21" s="368"/>
      <c r="H21" s="446">
        <v>0</v>
      </c>
      <c r="I21" s="447">
        <v>8351263</v>
      </c>
      <c r="J21" s="448">
        <v>2</v>
      </c>
      <c r="K21" s="368"/>
      <c r="L21" s="446">
        <v>0</v>
      </c>
      <c r="M21" s="447">
        <v>8351264</v>
      </c>
      <c r="N21" s="448">
        <v>2</v>
      </c>
      <c r="O21" s="368"/>
      <c r="P21" s="419">
        <v>0</v>
      </c>
      <c r="Q21" s="420">
        <v>8351265</v>
      </c>
      <c r="R21" s="421">
        <v>2</v>
      </c>
      <c r="S21" s="368"/>
      <c r="T21" s="419">
        <v>0</v>
      </c>
      <c r="U21" s="420">
        <v>8351266</v>
      </c>
      <c r="V21" s="421">
        <v>2</v>
      </c>
      <c r="W21" s="368"/>
      <c r="X21" s="419">
        <v>0</v>
      </c>
      <c r="Y21" s="420">
        <v>8351267</v>
      </c>
      <c r="Z21" s="421">
        <v>2</v>
      </c>
      <c r="AA21" s="368"/>
      <c r="AB21" s="419">
        <v>0</v>
      </c>
      <c r="AC21" s="420">
        <v>8351268</v>
      </c>
      <c r="AD21" s="421">
        <v>6</v>
      </c>
      <c r="AE21" s="2"/>
      <c r="AF21" s="539"/>
      <c r="AG21" s="5"/>
    </row>
    <row r="22" spans="1:34" ht="21.95" customHeight="1" x14ac:dyDescent="0.25">
      <c r="A22" s="6"/>
      <c r="B22" s="2"/>
      <c r="C22" s="506" t="s">
        <v>55</v>
      </c>
      <c r="D22" s="320"/>
      <c r="E22" s="321"/>
      <c r="F22" s="322"/>
      <c r="G22" s="41"/>
      <c r="H22" s="320"/>
      <c r="I22" s="321"/>
      <c r="J22" s="322"/>
      <c r="K22" s="41"/>
      <c r="L22" s="320"/>
      <c r="M22" s="321"/>
      <c r="N22" s="322"/>
      <c r="O22" s="41"/>
      <c r="P22" s="320"/>
      <c r="Q22" s="321"/>
      <c r="R22" s="322"/>
      <c r="S22" s="41"/>
      <c r="T22" s="320"/>
      <c r="U22" s="321"/>
      <c r="V22" s="322"/>
      <c r="W22" s="41"/>
      <c r="X22" s="320"/>
      <c r="Y22" s="321"/>
      <c r="Z22" s="322"/>
      <c r="AA22" s="41"/>
      <c r="AB22" s="320"/>
      <c r="AC22" s="321"/>
      <c r="AD22" s="322"/>
      <c r="AE22" s="2"/>
      <c r="AF22" s="539"/>
      <c r="AG22" s="5"/>
    </row>
    <row r="23" spans="1:34" ht="21.95" customHeight="1" x14ac:dyDescent="0.25">
      <c r="A23" s="6"/>
      <c r="B23" s="2"/>
      <c r="C23" s="507"/>
      <c r="D23" s="263"/>
      <c r="E23" s="323"/>
      <c r="F23" s="324"/>
      <c r="G23" s="41"/>
      <c r="H23" s="263"/>
      <c r="I23" s="323"/>
      <c r="J23" s="324"/>
      <c r="K23" s="41"/>
      <c r="L23" s="263"/>
      <c r="M23" s="323"/>
      <c r="N23" s="324"/>
      <c r="O23" s="41"/>
      <c r="P23" s="263"/>
      <c r="Q23" s="323"/>
      <c r="R23" s="324"/>
      <c r="S23" s="41"/>
      <c r="T23" s="263"/>
      <c r="U23" s="323"/>
      <c r="V23" s="324"/>
      <c r="W23" s="41"/>
      <c r="X23" s="263"/>
      <c r="Y23" s="323"/>
      <c r="Z23" s="324"/>
      <c r="AA23" s="41"/>
      <c r="AB23" s="263"/>
      <c r="AC23" s="323"/>
      <c r="AD23" s="324"/>
      <c r="AE23" s="2"/>
      <c r="AF23" s="648"/>
      <c r="AG23" s="5"/>
    </row>
    <row r="24" spans="1:34" ht="21.95" customHeight="1" thickBot="1" x14ac:dyDescent="0.3">
      <c r="A24" s="6"/>
      <c r="B24" s="2"/>
      <c r="C24" s="507"/>
      <c r="D24" s="263"/>
      <c r="E24" s="323"/>
      <c r="F24" s="324"/>
      <c r="G24" s="41"/>
      <c r="H24" s="263"/>
      <c r="I24" s="323"/>
      <c r="J24" s="324"/>
      <c r="K24" s="41"/>
      <c r="L24" s="346"/>
      <c r="M24" s="347"/>
      <c r="N24" s="348"/>
      <c r="O24" s="41"/>
      <c r="P24" s="263"/>
      <c r="Q24" s="323"/>
      <c r="R24" s="324"/>
      <c r="S24" s="41"/>
      <c r="T24" s="346"/>
      <c r="U24" s="347"/>
      <c r="V24" s="348"/>
      <c r="W24" s="41"/>
      <c r="X24" s="263"/>
      <c r="Y24" s="323"/>
      <c r="Z24" s="324"/>
      <c r="AA24" s="41"/>
      <c r="AB24" s="263"/>
      <c r="AC24" s="323"/>
      <c r="AD24" s="324"/>
      <c r="AE24" s="2"/>
      <c r="AF24" s="649"/>
      <c r="AG24" s="5"/>
    </row>
    <row r="25" spans="1:34" ht="50.1" customHeight="1" x14ac:dyDescent="0.25">
      <c r="A25" s="6"/>
      <c r="B25" s="2"/>
      <c r="C25" s="655"/>
      <c r="D25" s="51"/>
      <c r="E25" s="8"/>
      <c r="F25" s="56"/>
      <c r="G25" s="45"/>
      <c r="H25" s="340"/>
      <c r="I25" s="341"/>
      <c r="J25" s="342"/>
      <c r="K25" s="45"/>
      <c r="L25" s="354"/>
      <c r="M25" s="8"/>
      <c r="N25" s="355"/>
      <c r="O25" s="45"/>
      <c r="P25" s="51"/>
      <c r="Q25" s="8"/>
      <c r="R25" s="56"/>
      <c r="S25" s="45"/>
      <c r="T25" s="340"/>
      <c r="U25" s="341"/>
      <c r="V25" s="342"/>
      <c r="W25" s="45"/>
      <c r="X25" s="416"/>
      <c r="Y25" s="417" t="s">
        <v>141</v>
      </c>
      <c r="Z25" s="418"/>
      <c r="AA25" s="56"/>
      <c r="AB25" s="416">
        <v>0</v>
      </c>
      <c r="AC25" s="417">
        <v>8388406</v>
      </c>
      <c r="AD25" s="418">
        <v>1</v>
      </c>
      <c r="AE25" s="2"/>
      <c r="AF25" s="649"/>
      <c r="AG25" s="183"/>
      <c r="AH25" s="181"/>
    </row>
    <row r="26" spans="1:34" ht="50.1" customHeight="1" x14ac:dyDescent="0.25">
      <c r="A26" s="6"/>
      <c r="B26" s="2"/>
      <c r="C26" s="510"/>
      <c r="D26" s="102"/>
      <c r="E26" s="40"/>
      <c r="F26" s="103"/>
      <c r="G26" s="45"/>
      <c r="H26" s="102"/>
      <c r="I26" s="40"/>
      <c r="J26" s="103"/>
      <c r="K26" s="45"/>
      <c r="L26" s="349"/>
      <c r="M26" s="345"/>
      <c r="N26" s="350"/>
      <c r="O26" s="45"/>
      <c r="P26" s="102"/>
      <c r="Q26" s="40"/>
      <c r="R26" s="103"/>
      <c r="S26" s="45"/>
      <c r="T26" s="349"/>
      <c r="U26" s="345"/>
      <c r="V26" s="350"/>
      <c r="W26" s="45"/>
      <c r="X26" s="102"/>
      <c r="Y26" s="40"/>
      <c r="Z26" s="103"/>
      <c r="AA26" s="103"/>
      <c r="AB26" s="419"/>
      <c r="AC26" s="434" t="s">
        <v>159</v>
      </c>
      <c r="AD26" s="454"/>
      <c r="AE26" s="2"/>
      <c r="AF26" s="649"/>
      <c r="AG26" s="183"/>
      <c r="AH26" s="182"/>
    </row>
    <row r="27" spans="1:34" ht="50.1" customHeight="1" thickBot="1" x14ac:dyDescent="0.3">
      <c r="A27" s="6"/>
      <c r="B27" s="2"/>
      <c r="C27" s="510"/>
      <c r="D27" s="52"/>
      <c r="E27" s="9"/>
      <c r="F27" s="95"/>
      <c r="G27" s="45"/>
      <c r="H27" s="52"/>
      <c r="I27" s="9"/>
      <c r="J27" s="95"/>
      <c r="K27" s="45"/>
      <c r="L27" s="356"/>
      <c r="M27" s="352"/>
      <c r="N27" s="357"/>
      <c r="O27" s="372"/>
      <c r="P27" s="382"/>
      <c r="Q27" s="383"/>
      <c r="R27" s="384"/>
      <c r="S27" s="372"/>
      <c r="T27" s="351"/>
      <c r="U27" s="352"/>
      <c r="V27" s="353"/>
      <c r="W27" s="372"/>
      <c r="X27" s="52"/>
      <c r="Y27" s="9"/>
      <c r="Z27" s="95"/>
      <c r="AA27" s="95"/>
      <c r="AB27" s="52"/>
      <c r="AC27" s="9"/>
      <c r="AD27" s="95"/>
      <c r="AE27" s="2"/>
      <c r="AF27" s="649"/>
    </row>
    <row r="28" spans="1:34" ht="49.5" customHeight="1" x14ac:dyDescent="0.25">
      <c r="A28" s="6"/>
      <c r="B28" s="2"/>
      <c r="C28" s="509"/>
      <c r="D28" s="161"/>
      <c r="E28" s="8"/>
      <c r="F28" s="57"/>
      <c r="G28" s="45"/>
      <c r="H28" s="444">
        <v>1</v>
      </c>
      <c r="I28" s="445" t="s">
        <v>152</v>
      </c>
      <c r="J28" s="443">
        <v>1</v>
      </c>
      <c r="K28" s="45"/>
      <c r="L28" s="433">
        <v>1</v>
      </c>
      <c r="M28" s="434" t="s">
        <v>151</v>
      </c>
      <c r="N28" s="435">
        <v>1</v>
      </c>
      <c r="O28" s="372"/>
      <c r="P28" s="340"/>
      <c r="Q28" s="341"/>
      <c r="R28" s="342"/>
      <c r="S28" s="372"/>
      <c r="T28" s="385"/>
      <c r="U28" s="362"/>
      <c r="V28" s="386"/>
      <c r="W28" s="372"/>
      <c r="X28" s="161"/>
      <c r="Y28" s="8"/>
      <c r="Z28" s="57"/>
      <c r="AA28" s="45"/>
      <c r="AB28" s="161"/>
      <c r="AC28" s="417" t="s">
        <v>140</v>
      </c>
      <c r="AD28" s="57"/>
      <c r="AE28" s="2"/>
      <c r="AF28" s="539"/>
      <c r="AG28" s="183">
        <f>D31+H31+L31+P31+T31+X31+AB31</f>
        <v>3</v>
      </c>
      <c r="AH28" s="181" t="s">
        <v>61</v>
      </c>
    </row>
    <row r="29" spans="1:34" ht="45" customHeight="1" x14ac:dyDescent="0.25">
      <c r="A29" s="6"/>
      <c r="B29" s="2"/>
      <c r="C29" s="510"/>
      <c r="D29" s="55"/>
      <c r="E29" s="40"/>
      <c r="F29" s="58"/>
      <c r="G29" s="45"/>
      <c r="H29" s="55"/>
      <c r="I29" s="40"/>
      <c r="J29" s="58"/>
      <c r="K29" s="45"/>
      <c r="L29" s="361"/>
      <c r="M29" s="362"/>
      <c r="N29" s="363"/>
      <c r="O29" s="372"/>
      <c r="P29" s="358"/>
      <c r="Q29" s="359"/>
      <c r="R29" s="360"/>
      <c r="S29" s="372"/>
      <c r="T29" s="361"/>
      <c r="U29" s="362"/>
      <c r="V29" s="363"/>
      <c r="W29" s="372"/>
      <c r="X29" s="456">
        <v>1</v>
      </c>
      <c r="Y29" s="434" t="s">
        <v>155</v>
      </c>
      <c r="Z29" s="457">
        <v>1</v>
      </c>
      <c r="AA29" s="45"/>
      <c r="AB29" s="55"/>
      <c r="AC29" s="40"/>
      <c r="AD29" s="58"/>
      <c r="AE29" s="2"/>
      <c r="AF29" s="648"/>
      <c r="AG29" s="183">
        <f>F31+J31+N31+R31+V31+Z31+AD31</f>
        <v>60</v>
      </c>
      <c r="AH29" s="182" t="s">
        <v>62</v>
      </c>
    </row>
    <row r="30" spans="1:34" ht="45" customHeight="1" thickBot="1" x14ac:dyDescent="0.3">
      <c r="A30" s="6"/>
      <c r="B30" s="2"/>
      <c r="C30" s="510"/>
      <c r="D30" s="50"/>
      <c r="E30" s="9"/>
      <c r="F30" s="133"/>
      <c r="G30" s="45"/>
      <c r="H30" s="50"/>
      <c r="I30" s="9"/>
      <c r="J30" s="133"/>
      <c r="K30" s="45"/>
      <c r="L30" s="373"/>
      <c r="M30" s="374"/>
      <c r="N30" s="375"/>
      <c r="O30" s="372"/>
      <c r="P30" s="351"/>
      <c r="Q30" s="352"/>
      <c r="R30" s="353"/>
      <c r="S30" s="372"/>
      <c r="T30" s="373"/>
      <c r="U30" s="374"/>
      <c r="V30" s="375"/>
      <c r="W30" s="372"/>
      <c r="X30" s="50"/>
      <c r="Y30" s="9"/>
      <c r="Z30" s="133"/>
      <c r="AA30" s="45"/>
      <c r="AB30" s="50"/>
      <c r="AC30" s="9"/>
      <c r="AD30" s="133"/>
      <c r="AE30" s="2"/>
      <c r="AF30" s="539"/>
      <c r="AG30" s="5"/>
    </row>
    <row r="31" spans="1:34" s="180" customFormat="1" ht="20.25" customHeight="1" thickBot="1" x14ac:dyDescent="0.3">
      <c r="A31" s="179"/>
      <c r="B31" s="176"/>
      <c r="C31" s="177"/>
      <c r="D31" s="178">
        <f>SUM(D18:D30)</f>
        <v>0</v>
      </c>
      <c r="E31" s="176"/>
      <c r="F31" s="178">
        <f>SUM(F19:F30)</f>
        <v>6</v>
      </c>
      <c r="G31" s="179"/>
      <c r="H31" s="178">
        <f>SUM(H18:H30)</f>
        <v>1</v>
      </c>
      <c r="I31" s="176"/>
      <c r="J31" s="178">
        <f>SUM(J19:J30)</f>
        <v>7</v>
      </c>
      <c r="K31" s="179"/>
      <c r="L31" s="178">
        <f>SUM(L18:L30)</f>
        <v>1</v>
      </c>
      <c r="M31" s="176"/>
      <c r="N31" s="178">
        <f>SUM(N19:N30)</f>
        <v>7</v>
      </c>
      <c r="O31" s="179"/>
      <c r="P31" s="178">
        <f>SUM(P18:P30)</f>
        <v>0</v>
      </c>
      <c r="Q31" s="176"/>
      <c r="R31" s="178">
        <f>SUM(R19:R30)</f>
        <v>8</v>
      </c>
      <c r="S31" s="179"/>
      <c r="T31" s="178">
        <f>SUM(T18:T30)</f>
        <v>0</v>
      </c>
      <c r="U31" s="176"/>
      <c r="V31" s="178">
        <f>SUM(V19:V30)</f>
        <v>6</v>
      </c>
      <c r="W31" s="179"/>
      <c r="X31" s="178">
        <f>SUM(X18:X30)</f>
        <v>1</v>
      </c>
      <c r="Y31" s="176"/>
      <c r="Z31" s="178">
        <f>SUM(Z19:Z30)</f>
        <v>8</v>
      </c>
      <c r="AA31" s="179"/>
      <c r="AB31" s="178">
        <f>SUM(AB18:AB30)</f>
        <v>0</v>
      </c>
      <c r="AC31" s="176"/>
      <c r="AD31" s="178">
        <f>SUM(AD19:AD30)</f>
        <v>18</v>
      </c>
      <c r="AE31" s="176"/>
    </row>
    <row r="32" spans="1:34" ht="18.75" thickBot="1" x14ac:dyDescent="0.3">
      <c r="A32" s="6"/>
      <c r="B32" s="2"/>
      <c r="C32" s="136"/>
      <c r="D32" s="53"/>
      <c r="E32" s="44">
        <v>12</v>
      </c>
      <c r="F32" s="54"/>
      <c r="G32" s="46"/>
      <c r="H32" s="53"/>
      <c r="I32" s="42">
        <v>13</v>
      </c>
      <c r="J32" s="54"/>
      <c r="K32" s="47"/>
      <c r="L32" s="53"/>
      <c r="M32" s="42">
        <v>14</v>
      </c>
      <c r="N32" s="54"/>
      <c r="O32" s="47"/>
      <c r="P32" s="53"/>
      <c r="Q32" s="59">
        <v>15</v>
      </c>
      <c r="R32" s="54"/>
      <c r="S32" s="47"/>
      <c r="T32" s="53"/>
      <c r="U32" s="59">
        <v>16</v>
      </c>
      <c r="V32" s="54"/>
      <c r="W32" s="47"/>
      <c r="X32" s="53"/>
      <c r="Y32" s="59">
        <v>17</v>
      </c>
      <c r="Z32" s="54"/>
      <c r="AA32" s="47"/>
      <c r="AB32" s="53"/>
      <c r="AC32" s="42">
        <v>18</v>
      </c>
      <c r="AD32" s="54"/>
      <c r="AE32" s="2"/>
    </row>
    <row r="33" spans="1:34" ht="21.95" customHeight="1" x14ac:dyDescent="0.25">
      <c r="A33" s="6"/>
      <c r="B33" s="2" t="s">
        <v>115</v>
      </c>
      <c r="C33" s="500" t="s">
        <v>46</v>
      </c>
      <c r="D33" s="413">
        <v>0</v>
      </c>
      <c r="E33" s="414">
        <v>8350558</v>
      </c>
      <c r="F33" s="415">
        <v>2</v>
      </c>
      <c r="G33" s="368"/>
      <c r="H33" s="413">
        <v>0</v>
      </c>
      <c r="I33" s="414">
        <v>8350560</v>
      </c>
      <c r="J33" s="415">
        <v>3</v>
      </c>
      <c r="K33" s="368"/>
      <c r="L33" s="413">
        <v>0</v>
      </c>
      <c r="M33" s="414">
        <v>8350562</v>
      </c>
      <c r="N33" s="415">
        <v>8</v>
      </c>
      <c r="O33" s="368"/>
      <c r="P33" s="413">
        <v>0</v>
      </c>
      <c r="Q33" s="414">
        <v>8350563</v>
      </c>
      <c r="R33" s="415">
        <v>2</v>
      </c>
      <c r="S33" s="368"/>
      <c r="T33" s="413">
        <v>0</v>
      </c>
      <c r="U33" s="414">
        <v>8350564</v>
      </c>
      <c r="V33" s="415">
        <v>2</v>
      </c>
      <c r="W33" s="368"/>
      <c r="X33" s="413">
        <v>0</v>
      </c>
      <c r="Y33" s="414">
        <v>8350565</v>
      </c>
      <c r="Z33" s="415">
        <v>2</v>
      </c>
      <c r="AA33" s="368"/>
      <c r="AB33" s="413">
        <v>0</v>
      </c>
      <c r="AC33" s="414">
        <v>8350566</v>
      </c>
      <c r="AD33" s="415">
        <v>2</v>
      </c>
      <c r="AE33" s="2"/>
    </row>
    <row r="34" spans="1:34" ht="21.95" customHeight="1" x14ac:dyDescent="0.25">
      <c r="A34" s="6"/>
      <c r="B34" s="2"/>
      <c r="C34" s="501"/>
      <c r="D34" s="419">
        <v>0</v>
      </c>
      <c r="E34" s="420">
        <v>8350796</v>
      </c>
      <c r="F34" s="421">
        <v>2</v>
      </c>
      <c r="G34" s="368"/>
      <c r="H34" s="419">
        <v>0</v>
      </c>
      <c r="I34" s="420">
        <v>8350797</v>
      </c>
      <c r="J34" s="421">
        <v>2</v>
      </c>
      <c r="K34" s="368"/>
      <c r="L34" s="419">
        <v>0</v>
      </c>
      <c r="M34" s="420">
        <v>8350798</v>
      </c>
      <c r="N34" s="421">
        <v>2</v>
      </c>
      <c r="O34" s="368"/>
      <c r="P34" s="419">
        <v>0</v>
      </c>
      <c r="Q34" s="420">
        <v>8350799</v>
      </c>
      <c r="R34" s="421">
        <v>2</v>
      </c>
      <c r="S34" s="368"/>
      <c r="T34" s="419">
        <v>0</v>
      </c>
      <c r="U34" s="420">
        <v>8350800</v>
      </c>
      <c r="V34" s="421">
        <v>2</v>
      </c>
      <c r="W34" s="368"/>
      <c r="X34" s="419">
        <v>0</v>
      </c>
      <c r="Y34" s="420">
        <v>8350801</v>
      </c>
      <c r="Z34" s="421">
        <v>2</v>
      </c>
      <c r="AA34" s="368"/>
      <c r="AB34" s="419">
        <v>0</v>
      </c>
      <c r="AC34" s="420">
        <v>8350802</v>
      </c>
      <c r="AD34" s="421">
        <v>2</v>
      </c>
      <c r="AE34" s="2"/>
    </row>
    <row r="35" spans="1:34" ht="21.95" customHeight="1" thickBot="1" x14ac:dyDescent="0.3">
      <c r="A35" s="6"/>
      <c r="B35" s="2"/>
      <c r="C35" s="502"/>
      <c r="D35" s="419">
        <v>0</v>
      </c>
      <c r="E35" s="420">
        <v>8351269</v>
      </c>
      <c r="F35" s="421">
        <v>2</v>
      </c>
      <c r="G35" s="368"/>
      <c r="H35" s="419">
        <v>0</v>
      </c>
      <c r="I35" s="420">
        <v>8351270</v>
      </c>
      <c r="J35" s="421">
        <v>2</v>
      </c>
      <c r="K35" s="368"/>
      <c r="L35" s="419">
        <v>0</v>
      </c>
      <c r="M35" s="420">
        <v>8351271</v>
      </c>
      <c r="N35" s="421">
        <v>3</v>
      </c>
      <c r="O35" s="368"/>
      <c r="P35" s="419">
        <v>0</v>
      </c>
      <c r="Q35" s="420">
        <v>8351272</v>
      </c>
      <c r="R35" s="421">
        <v>2</v>
      </c>
      <c r="S35" s="368"/>
      <c r="T35" s="419">
        <v>0</v>
      </c>
      <c r="U35" s="420">
        <v>8351273</v>
      </c>
      <c r="V35" s="421">
        <v>3</v>
      </c>
      <c r="W35" s="368"/>
      <c r="X35" s="419">
        <v>0</v>
      </c>
      <c r="Y35" s="420">
        <v>8351274</v>
      </c>
      <c r="Z35" s="421">
        <v>2</v>
      </c>
      <c r="AA35" s="368"/>
      <c r="AB35" s="419">
        <v>0</v>
      </c>
      <c r="AC35" s="420">
        <v>8351275</v>
      </c>
      <c r="AD35" s="421">
        <v>1</v>
      </c>
      <c r="AE35" s="2"/>
    </row>
    <row r="36" spans="1:34" ht="21.95" customHeight="1" x14ac:dyDescent="0.25">
      <c r="A36" s="6"/>
      <c r="B36" s="2"/>
      <c r="C36" s="506" t="s">
        <v>55</v>
      </c>
      <c r="D36" s="320"/>
      <c r="E36" s="321"/>
      <c r="F36" s="322"/>
      <c r="G36" s="41"/>
      <c r="H36" s="320"/>
      <c r="I36" s="321"/>
      <c r="J36" s="322"/>
      <c r="K36" s="41"/>
      <c r="L36" s="320"/>
      <c r="M36" s="321"/>
      <c r="N36" s="322"/>
      <c r="O36" s="41"/>
      <c r="P36" s="320"/>
      <c r="Q36" s="321"/>
      <c r="R36" s="322"/>
      <c r="S36" s="41"/>
      <c r="T36" s="320"/>
      <c r="U36" s="321"/>
      <c r="V36" s="322"/>
      <c r="W36" s="41"/>
      <c r="X36" s="320"/>
      <c r="Y36" s="321"/>
      <c r="Z36" s="322"/>
      <c r="AA36" s="41"/>
      <c r="AB36" s="320"/>
      <c r="AC36" s="321"/>
      <c r="AD36" s="322"/>
      <c r="AE36" s="2"/>
    </row>
    <row r="37" spans="1:34" ht="21.95" customHeight="1" x14ac:dyDescent="0.25">
      <c r="A37" s="6"/>
      <c r="B37" s="2"/>
      <c r="C37" s="507"/>
      <c r="D37" s="263"/>
      <c r="E37" s="323"/>
      <c r="F37" s="324"/>
      <c r="G37" s="41"/>
      <c r="H37" s="263"/>
      <c r="I37" s="323"/>
      <c r="J37" s="324"/>
      <c r="K37" s="41"/>
      <c r="L37" s="263"/>
      <c r="M37" s="323"/>
      <c r="N37" s="324"/>
      <c r="O37" s="41"/>
      <c r="P37" s="263"/>
      <c r="Q37" s="323"/>
      <c r="R37" s="324"/>
      <c r="S37" s="41"/>
      <c r="T37" s="263"/>
      <c r="U37" s="323"/>
      <c r="V37" s="324"/>
      <c r="W37" s="41"/>
      <c r="X37" s="263"/>
      <c r="Y37" s="323"/>
      <c r="Z37" s="324"/>
      <c r="AA37" s="41"/>
      <c r="AB37" s="263"/>
      <c r="AC37" s="323"/>
      <c r="AD37" s="324"/>
      <c r="AE37" s="2"/>
    </row>
    <row r="38" spans="1:34" ht="21.95" customHeight="1" thickBot="1" x14ac:dyDescent="0.3">
      <c r="A38" s="6"/>
      <c r="B38" s="2"/>
      <c r="C38" s="507"/>
      <c r="D38" s="263"/>
      <c r="E38" s="323"/>
      <c r="F38" s="324"/>
      <c r="G38" s="41"/>
      <c r="H38" s="263"/>
      <c r="I38" s="323"/>
      <c r="J38" s="324"/>
      <c r="K38" s="41"/>
      <c r="L38" s="346"/>
      <c r="M38" s="347"/>
      <c r="N38" s="348"/>
      <c r="O38" s="41"/>
      <c r="P38" s="263"/>
      <c r="Q38" s="323"/>
      <c r="R38" s="324"/>
      <c r="S38" s="41"/>
      <c r="T38" s="346"/>
      <c r="U38" s="347"/>
      <c r="V38" s="348"/>
      <c r="W38" s="41"/>
      <c r="X38" s="263"/>
      <c r="Y38" s="323"/>
      <c r="Z38" s="324"/>
      <c r="AA38" s="41"/>
      <c r="AB38" s="263"/>
      <c r="AC38" s="323"/>
      <c r="AD38" s="324"/>
      <c r="AE38" s="2"/>
    </row>
    <row r="39" spans="1:34" ht="45.75" customHeight="1" x14ac:dyDescent="0.25">
      <c r="A39" s="6"/>
      <c r="B39" s="2"/>
      <c r="C39" s="655"/>
      <c r="D39" s="377"/>
      <c r="E39" s="341"/>
      <c r="F39" s="378"/>
      <c r="G39" s="372"/>
      <c r="H39" s="377"/>
      <c r="I39" s="341"/>
      <c r="J39" s="378"/>
      <c r="K39" s="372"/>
      <c r="L39" s="455">
        <v>1</v>
      </c>
      <c r="M39" s="417" t="s">
        <v>161</v>
      </c>
      <c r="N39" s="415">
        <v>1</v>
      </c>
      <c r="O39" s="372"/>
      <c r="P39" s="377"/>
      <c r="Q39" s="341"/>
      <c r="R39" s="378"/>
      <c r="S39" s="372"/>
      <c r="T39" s="377"/>
      <c r="U39" s="341"/>
      <c r="V39" s="378"/>
      <c r="W39" s="372"/>
      <c r="X39" s="377"/>
      <c r="Y39" s="341"/>
      <c r="Z39" s="378"/>
      <c r="AA39" s="378"/>
      <c r="AB39" s="377"/>
      <c r="AC39" s="341"/>
      <c r="AD39" s="378"/>
      <c r="AE39" s="2"/>
      <c r="AG39" s="183"/>
      <c r="AH39" s="181"/>
    </row>
    <row r="40" spans="1:34" ht="45.75" customHeight="1" x14ac:dyDescent="0.25">
      <c r="A40" s="6"/>
      <c r="B40" s="2"/>
      <c r="C40" s="510"/>
      <c r="D40" s="369"/>
      <c r="E40" s="362"/>
      <c r="F40" s="379"/>
      <c r="G40" s="372"/>
      <c r="H40" s="369"/>
      <c r="I40" s="362"/>
      <c r="J40" s="379"/>
      <c r="K40" s="372"/>
      <c r="L40" s="358"/>
      <c r="M40" s="359"/>
      <c r="N40" s="360"/>
      <c r="O40" s="372"/>
      <c r="P40" s="369"/>
      <c r="Q40" s="362"/>
      <c r="R40" s="379"/>
      <c r="S40" s="372"/>
      <c r="T40" s="358"/>
      <c r="U40" s="359"/>
      <c r="V40" s="360"/>
      <c r="W40" s="372"/>
      <c r="X40" s="369"/>
      <c r="Y40" s="362"/>
      <c r="Z40" s="379"/>
      <c r="AA40" s="379"/>
      <c r="AB40" s="369"/>
      <c r="AC40" s="362"/>
      <c r="AD40" s="379"/>
      <c r="AE40" s="2"/>
      <c r="AG40" s="183"/>
      <c r="AH40" s="182"/>
    </row>
    <row r="41" spans="1:34" ht="47.25" customHeight="1" thickBot="1" x14ac:dyDescent="0.3">
      <c r="A41" s="6"/>
      <c r="B41" s="2"/>
      <c r="C41" s="510"/>
      <c r="D41" s="380"/>
      <c r="E41" s="374"/>
      <c r="F41" s="381"/>
      <c r="G41" s="372"/>
      <c r="H41" s="351"/>
      <c r="I41" s="352"/>
      <c r="J41" s="353"/>
      <c r="K41" s="372"/>
      <c r="L41" s="351"/>
      <c r="M41" s="352"/>
      <c r="N41" s="353"/>
      <c r="O41" s="372"/>
      <c r="P41" s="351"/>
      <c r="Q41" s="352"/>
      <c r="R41" s="353"/>
      <c r="S41" s="372"/>
      <c r="T41" s="387"/>
      <c r="U41" s="383"/>
      <c r="V41" s="376"/>
      <c r="W41" s="372"/>
      <c r="X41" s="351"/>
      <c r="Y41" s="352"/>
      <c r="Z41" s="353"/>
      <c r="AA41" s="381"/>
      <c r="AB41" s="380"/>
      <c r="AC41" s="374"/>
      <c r="AD41" s="381"/>
      <c r="AE41" s="2"/>
    </row>
    <row r="42" spans="1:34" ht="62.25" customHeight="1" x14ac:dyDescent="0.25">
      <c r="A42" s="6"/>
      <c r="B42" s="2"/>
      <c r="C42" s="509"/>
      <c r="D42" s="340"/>
      <c r="E42" s="341"/>
      <c r="F42" s="342"/>
      <c r="G42" s="372"/>
      <c r="H42" s="340"/>
      <c r="I42" s="341"/>
      <c r="J42" s="342"/>
      <c r="K42" s="372"/>
      <c r="L42" s="385"/>
      <c r="M42" s="362"/>
      <c r="N42" s="386"/>
      <c r="O42" s="372"/>
      <c r="P42" s="340"/>
      <c r="Q42" s="341"/>
      <c r="R42" s="342"/>
      <c r="S42" s="372"/>
      <c r="T42" s="340"/>
      <c r="U42" s="341"/>
      <c r="V42" s="342"/>
      <c r="W42" s="372"/>
      <c r="X42" s="340"/>
      <c r="Y42" s="341"/>
      <c r="Z42" s="342"/>
      <c r="AA42" s="372"/>
      <c r="AB42" s="340"/>
      <c r="AC42" s="341"/>
      <c r="AD42" s="342"/>
      <c r="AE42" s="2"/>
      <c r="AG42" s="183">
        <f>D45+H45+L45+P45+T45+X45+AB45</f>
        <v>1</v>
      </c>
      <c r="AH42" s="181" t="s">
        <v>61</v>
      </c>
    </row>
    <row r="43" spans="1:34" ht="45" customHeight="1" x14ac:dyDescent="0.25">
      <c r="A43" s="6"/>
      <c r="B43" s="2"/>
      <c r="C43" s="510"/>
      <c r="D43" s="361"/>
      <c r="E43" s="362"/>
      <c r="F43" s="363"/>
      <c r="G43" s="372"/>
      <c r="H43" s="361"/>
      <c r="I43" s="362"/>
      <c r="J43" s="363"/>
      <c r="K43" s="372"/>
      <c r="L43" s="358"/>
      <c r="M43" s="359"/>
      <c r="N43" s="360"/>
      <c r="O43" s="372"/>
      <c r="P43" s="361"/>
      <c r="Q43" s="362"/>
      <c r="R43" s="363"/>
      <c r="S43" s="372"/>
      <c r="T43" s="361"/>
      <c r="U43" s="362"/>
      <c r="V43" s="363"/>
      <c r="W43" s="372"/>
      <c r="X43" s="388"/>
      <c r="Y43" s="359"/>
      <c r="Z43" s="389"/>
      <c r="AA43" s="372"/>
      <c r="AB43" s="361"/>
      <c r="AC43" s="362"/>
      <c r="AD43" s="363"/>
      <c r="AE43" s="45"/>
      <c r="AG43" s="183">
        <f>F45+J45+N45+R45+V45+Z45+AD45</f>
        <v>51</v>
      </c>
      <c r="AH43" s="182" t="s">
        <v>62</v>
      </c>
    </row>
    <row r="44" spans="1:34" ht="45" customHeight="1" thickBot="1" x14ac:dyDescent="0.3">
      <c r="A44" s="6"/>
      <c r="B44" s="2"/>
      <c r="C44" s="510"/>
      <c r="D44" s="373"/>
      <c r="E44" s="374"/>
      <c r="F44" s="375"/>
      <c r="G44" s="372"/>
      <c r="H44" s="351"/>
      <c r="I44" s="352"/>
      <c r="J44" s="353"/>
      <c r="K44" s="372"/>
      <c r="L44" s="373"/>
      <c r="M44" s="374"/>
      <c r="N44" s="375"/>
      <c r="O44" s="372"/>
      <c r="P44" s="373"/>
      <c r="Q44" s="374"/>
      <c r="R44" s="375"/>
      <c r="S44" s="372"/>
      <c r="T44" s="351"/>
      <c r="U44" s="352" t="s">
        <v>122</v>
      </c>
      <c r="V44" s="353"/>
      <c r="W44" s="372"/>
      <c r="X44" s="373"/>
      <c r="Y44" s="374"/>
      <c r="Z44" s="375"/>
      <c r="AA44" s="372"/>
      <c r="AB44" s="373"/>
      <c r="AC44" s="374"/>
      <c r="AD44" s="375"/>
      <c r="AE44" s="2"/>
    </row>
    <row r="45" spans="1:34" s="180" customFormat="1" ht="20.25" customHeight="1" thickBot="1" x14ac:dyDescent="0.3">
      <c r="A45" s="179"/>
      <c r="B45" s="176"/>
      <c r="C45" s="177"/>
      <c r="D45" s="178">
        <f>SUM(D32:D44)</f>
        <v>0</v>
      </c>
      <c r="E45" s="176"/>
      <c r="F45" s="178">
        <f>SUM(F33:F44)</f>
        <v>6</v>
      </c>
      <c r="G45" s="179"/>
      <c r="H45" s="178">
        <f>SUM(H32:H44)</f>
        <v>0</v>
      </c>
      <c r="I45" s="176"/>
      <c r="J45" s="178">
        <f>SUM(J33:J44)</f>
        <v>7</v>
      </c>
      <c r="K45" s="179"/>
      <c r="L45" s="178">
        <f>SUM(L32:L44)</f>
        <v>1</v>
      </c>
      <c r="M45" s="176"/>
      <c r="N45" s="178">
        <f>SUM(N33:N44)</f>
        <v>14</v>
      </c>
      <c r="O45" s="179"/>
      <c r="P45" s="178">
        <f>SUM(P32:P44)</f>
        <v>0</v>
      </c>
      <c r="Q45" s="176"/>
      <c r="R45" s="178">
        <f>SUM(R33:R44)</f>
        <v>6</v>
      </c>
      <c r="S45" s="179"/>
      <c r="T45" s="178">
        <f>SUM(T32:T44)</f>
        <v>0</v>
      </c>
      <c r="U45" s="176"/>
      <c r="V45" s="178">
        <f>SUM(V33:V44)</f>
        <v>7</v>
      </c>
      <c r="W45" s="179"/>
      <c r="X45" s="178">
        <f>SUM(X32:X44)</f>
        <v>0</v>
      </c>
      <c r="Y45" s="176"/>
      <c r="Z45" s="178">
        <f>SUM(Z33:Z44)</f>
        <v>6</v>
      </c>
      <c r="AA45" s="179"/>
      <c r="AB45" s="178">
        <f>SUM(AB32:AB44)</f>
        <v>0</v>
      </c>
      <c r="AC45" s="176"/>
      <c r="AD45" s="178">
        <f>SUM(AD33:AD44)</f>
        <v>5</v>
      </c>
      <c r="AE45" s="176"/>
    </row>
    <row r="46" spans="1:34" ht="18.75" thickBot="1" x14ac:dyDescent="0.3">
      <c r="A46" s="6"/>
      <c r="B46" s="2"/>
      <c r="C46" s="136"/>
      <c r="D46" s="99"/>
      <c r="E46" s="100">
        <v>19</v>
      </c>
      <c r="F46" s="101"/>
      <c r="G46" s="46"/>
      <c r="H46" s="53"/>
      <c r="I46" s="59">
        <v>20</v>
      </c>
      <c r="J46" s="60"/>
      <c r="K46" s="41"/>
      <c r="L46" s="61"/>
      <c r="M46" s="59">
        <v>21</v>
      </c>
      <c r="N46" s="60"/>
      <c r="O46" s="41"/>
      <c r="P46" s="61"/>
      <c r="Q46" s="59">
        <v>22</v>
      </c>
      <c r="R46" s="60"/>
      <c r="S46" s="47"/>
      <c r="T46" s="92"/>
      <c r="U46" s="94">
        <v>23</v>
      </c>
      <c r="V46" s="93"/>
      <c r="W46" s="47"/>
      <c r="X46" s="99"/>
      <c r="Y46" s="94">
        <v>24</v>
      </c>
      <c r="Z46" s="101"/>
      <c r="AA46" s="47"/>
      <c r="AB46" s="149"/>
      <c r="AC46" s="94">
        <v>25</v>
      </c>
      <c r="AD46" s="150"/>
      <c r="AE46" s="2"/>
    </row>
    <row r="47" spans="1:34" ht="21.95" customHeight="1" x14ac:dyDescent="0.25">
      <c r="A47" s="6"/>
      <c r="B47" s="2"/>
      <c r="C47" s="500" t="s">
        <v>46</v>
      </c>
      <c r="D47" s="413">
        <v>0</v>
      </c>
      <c r="E47" s="414">
        <v>8350567</v>
      </c>
      <c r="F47" s="415">
        <v>2</v>
      </c>
      <c r="G47" s="368"/>
      <c r="H47" s="366">
        <v>0</v>
      </c>
      <c r="I47" s="367">
        <v>8350568</v>
      </c>
      <c r="J47" s="342">
        <v>2</v>
      </c>
      <c r="K47" s="368"/>
      <c r="L47" s="366">
        <v>0</v>
      </c>
      <c r="M47" s="367">
        <v>8350569</v>
      </c>
      <c r="N47" s="342">
        <v>2</v>
      </c>
      <c r="O47" s="41"/>
      <c r="P47" s="366">
        <v>0</v>
      </c>
      <c r="Q47" s="367">
        <v>8350570</v>
      </c>
      <c r="R47" s="342">
        <v>2</v>
      </c>
      <c r="S47" s="41"/>
      <c r="T47" s="366">
        <v>0</v>
      </c>
      <c r="U47" s="367">
        <v>8350571</v>
      </c>
      <c r="V47" s="342">
        <v>2</v>
      </c>
      <c r="W47" s="368"/>
      <c r="X47" s="366">
        <v>0</v>
      </c>
      <c r="Y47" s="367">
        <v>8350572</v>
      </c>
      <c r="Z47" s="342">
        <v>2</v>
      </c>
      <c r="AA47" s="368"/>
      <c r="AB47" s="366">
        <v>0</v>
      </c>
      <c r="AC47" s="367">
        <v>8350573</v>
      </c>
      <c r="AD47" s="342">
        <v>2</v>
      </c>
      <c r="AE47" s="2"/>
    </row>
    <row r="48" spans="1:34" ht="21.95" customHeight="1" x14ac:dyDescent="0.25">
      <c r="A48" s="6"/>
      <c r="B48" s="2"/>
      <c r="C48" s="501"/>
      <c r="D48" s="419">
        <v>0</v>
      </c>
      <c r="E48" s="420">
        <v>8350803</v>
      </c>
      <c r="F48" s="421">
        <v>3</v>
      </c>
      <c r="G48" s="368"/>
      <c r="H48" s="369">
        <v>0</v>
      </c>
      <c r="I48" s="370">
        <v>8350806</v>
      </c>
      <c r="J48" s="371">
        <v>2</v>
      </c>
      <c r="K48" s="368"/>
      <c r="L48" s="369">
        <v>0</v>
      </c>
      <c r="M48" s="370">
        <v>8350807</v>
      </c>
      <c r="N48" s="371">
        <v>2</v>
      </c>
      <c r="O48" s="368"/>
      <c r="P48" s="369">
        <v>0</v>
      </c>
      <c r="Q48" s="370">
        <v>8350808</v>
      </c>
      <c r="R48" s="371">
        <v>2</v>
      </c>
      <c r="S48" s="368"/>
      <c r="T48" s="369">
        <v>0</v>
      </c>
      <c r="U48" s="370">
        <v>8350809</v>
      </c>
      <c r="V48" s="371">
        <v>2</v>
      </c>
      <c r="W48" s="368"/>
      <c r="X48" s="369">
        <v>0</v>
      </c>
      <c r="Y48" s="370">
        <v>8350810</v>
      </c>
      <c r="Z48" s="371">
        <v>2</v>
      </c>
      <c r="AA48" s="368"/>
      <c r="AB48" s="369">
        <v>0</v>
      </c>
      <c r="AC48" s="370">
        <v>8350811</v>
      </c>
      <c r="AD48" s="371">
        <v>2</v>
      </c>
      <c r="AE48" s="2"/>
    </row>
    <row r="49" spans="1:34" ht="21.95" customHeight="1" thickBot="1" x14ac:dyDescent="0.3">
      <c r="A49" s="6"/>
      <c r="B49" s="2"/>
      <c r="C49" s="502"/>
      <c r="D49" s="419">
        <v>0</v>
      </c>
      <c r="E49" s="420">
        <v>8351276</v>
      </c>
      <c r="F49" s="421">
        <v>0</v>
      </c>
      <c r="G49" s="368"/>
      <c r="H49" s="369">
        <v>0</v>
      </c>
      <c r="I49" s="370">
        <v>8351277</v>
      </c>
      <c r="J49" s="371">
        <v>2</v>
      </c>
      <c r="K49" s="368"/>
      <c r="L49" s="369">
        <v>0</v>
      </c>
      <c r="M49" s="370">
        <v>8351278</v>
      </c>
      <c r="N49" s="371">
        <v>2</v>
      </c>
      <c r="O49" s="368"/>
      <c r="P49" s="369">
        <v>0</v>
      </c>
      <c r="Q49" s="370">
        <v>8351279</v>
      </c>
      <c r="R49" s="371">
        <v>2</v>
      </c>
      <c r="S49" s="368"/>
      <c r="T49" s="369">
        <v>0</v>
      </c>
      <c r="U49" s="370">
        <v>8351280</v>
      </c>
      <c r="V49" s="371">
        <v>2</v>
      </c>
      <c r="W49" s="368"/>
      <c r="X49" s="369">
        <v>0</v>
      </c>
      <c r="Y49" s="370">
        <v>8351281</v>
      </c>
      <c r="Z49" s="371">
        <v>2</v>
      </c>
      <c r="AA49" s="368"/>
      <c r="AB49" s="369">
        <v>0</v>
      </c>
      <c r="AC49" s="370">
        <v>8351282</v>
      </c>
      <c r="AD49" s="371">
        <v>2</v>
      </c>
      <c r="AE49" s="2"/>
    </row>
    <row r="50" spans="1:34" ht="21.95" customHeight="1" x14ac:dyDescent="0.25">
      <c r="A50" s="6"/>
      <c r="B50" s="2"/>
      <c r="C50" s="506" t="s">
        <v>55</v>
      </c>
      <c r="D50" s="320"/>
      <c r="E50" s="321"/>
      <c r="F50" s="322"/>
      <c r="G50" s="41"/>
      <c r="H50" s="320"/>
      <c r="I50" s="321"/>
      <c r="J50" s="322"/>
      <c r="K50" s="41"/>
      <c r="L50" s="320"/>
      <c r="M50" s="321"/>
      <c r="N50" s="322"/>
      <c r="O50" s="41"/>
      <c r="P50" s="320"/>
      <c r="Q50" s="321"/>
      <c r="R50" s="322"/>
      <c r="S50" s="41"/>
      <c r="T50" s="320"/>
      <c r="U50" s="321"/>
      <c r="V50" s="322"/>
      <c r="W50" s="41"/>
      <c r="X50" s="320"/>
      <c r="Y50" s="321"/>
      <c r="Z50" s="322"/>
      <c r="AA50" s="41"/>
      <c r="AB50" s="320"/>
      <c r="AC50" s="321"/>
      <c r="AD50" s="322"/>
      <c r="AE50" s="2"/>
    </row>
    <row r="51" spans="1:34" ht="21.95" customHeight="1" x14ac:dyDescent="0.25">
      <c r="A51" s="6"/>
      <c r="B51" s="2"/>
      <c r="C51" s="507"/>
      <c r="D51" s="263"/>
      <c r="E51" s="323"/>
      <c r="F51" s="324"/>
      <c r="G51" s="41"/>
      <c r="H51" s="263"/>
      <c r="I51" s="323"/>
      <c r="J51" s="324"/>
      <c r="K51" s="41"/>
      <c r="L51" s="263"/>
      <c r="M51" s="323"/>
      <c r="N51" s="324"/>
      <c r="O51" s="41"/>
      <c r="P51" s="263"/>
      <c r="Q51" s="323"/>
      <c r="R51" s="324"/>
      <c r="S51" s="41"/>
      <c r="T51" s="263"/>
      <c r="U51" s="323"/>
      <c r="V51" s="324"/>
      <c r="W51" s="41"/>
      <c r="X51" s="263"/>
      <c r="Y51" s="323"/>
      <c r="Z51" s="324"/>
      <c r="AA51" s="41"/>
      <c r="AB51" s="263"/>
      <c r="AC51" s="323"/>
      <c r="AD51" s="324"/>
      <c r="AE51" s="2"/>
    </row>
    <row r="52" spans="1:34" ht="21.95" customHeight="1" thickBot="1" x14ac:dyDescent="0.3">
      <c r="A52" s="6"/>
      <c r="B52" s="2"/>
      <c r="C52" s="507"/>
      <c r="D52" s="263"/>
      <c r="E52" s="323"/>
      <c r="F52" s="324"/>
      <c r="G52" s="41"/>
      <c r="H52" s="346"/>
      <c r="I52" s="347"/>
      <c r="J52" s="348"/>
      <c r="K52" s="41"/>
      <c r="L52" s="263"/>
      <c r="M52" s="323"/>
      <c r="N52" s="324"/>
      <c r="O52" s="41"/>
      <c r="P52" s="263"/>
      <c r="Q52" s="323"/>
      <c r="R52" s="324"/>
      <c r="S52" s="41"/>
      <c r="T52" s="263"/>
      <c r="U52" s="323"/>
      <c r="V52" s="324"/>
      <c r="W52" s="41"/>
      <c r="X52" s="263"/>
      <c r="Y52" s="323"/>
      <c r="Z52" s="324"/>
      <c r="AA52" s="41"/>
      <c r="AB52" s="263"/>
      <c r="AC52" s="323"/>
      <c r="AD52" s="324"/>
      <c r="AE52" s="2"/>
    </row>
    <row r="53" spans="1:34" ht="36" customHeight="1" x14ac:dyDescent="0.25">
      <c r="A53" s="6"/>
      <c r="B53" s="2"/>
      <c r="C53" s="655"/>
      <c r="D53" s="51"/>
      <c r="E53" s="8"/>
      <c r="F53" s="56"/>
      <c r="G53" s="45"/>
      <c r="H53" s="340"/>
      <c r="I53" s="341"/>
      <c r="J53" s="342"/>
      <c r="K53" s="372"/>
      <c r="L53" s="340"/>
      <c r="M53" s="341"/>
      <c r="N53" s="342"/>
      <c r="O53" s="372"/>
      <c r="P53" s="340"/>
      <c r="Q53" s="341"/>
      <c r="R53" s="342"/>
      <c r="S53" s="372"/>
      <c r="T53" s="377"/>
      <c r="U53" s="341"/>
      <c r="V53" s="378"/>
      <c r="W53" s="372"/>
      <c r="X53" s="377"/>
      <c r="Y53" s="341"/>
      <c r="Z53" s="378"/>
      <c r="AA53" s="378"/>
      <c r="AB53" s="340"/>
      <c r="AC53" s="341"/>
      <c r="AD53" s="342"/>
      <c r="AE53" s="2"/>
      <c r="AG53" s="183"/>
      <c r="AH53" s="181"/>
    </row>
    <row r="54" spans="1:34" ht="30" customHeight="1" x14ac:dyDescent="0.25">
      <c r="A54" s="6"/>
      <c r="B54" s="2"/>
      <c r="C54" s="510"/>
      <c r="D54" s="102"/>
      <c r="E54" s="40"/>
      <c r="F54" s="103"/>
      <c r="G54" s="45"/>
      <c r="H54" s="358"/>
      <c r="I54" s="359"/>
      <c r="J54" s="360"/>
      <c r="K54" s="372"/>
      <c r="L54" s="369"/>
      <c r="M54" s="362"/>
      <c r="N54" s="379"/>
      <c r="O54" s="372"/>
      <c r="P54" s="369"/>
      <c r="Q54" s="362"/>
      <c r="R54" s="379"/>
      <c r="S54" s="372"/>
      <c r="T54" s="369"/>
      <c r="U54" s="362"/>
      <c r="V54" s="379"/>
      <c r="W54" s="372"/>
      <c r="X54" s="369"/>
      <c r="Y54" s="362"/>
      <c r="Z54" s="379"/>
      <c r="AA54" s="379"/>
      <c r="AB54" s="369"/>
      <c r="AC54" s="362"/>
      <c r="AD54" s="379"/>
      <c r="AE54" s="2"/>
      <c r="AG54" s="183"/>
      <c r="AH54" s="182"/>
    </row>
    <row r="55" spans="1:34" ht="30.75" customHeight="1" thickBot="1" x14ac:dyDescent="0.3">
      <c r="A55" s="6"/>
      <c r="B55" s="2"/>
      <c r="C55" s="510"/>
      <c r="D55" s="52"/>
      <c r="E55" s="9"/>
      <c r="F55" s="95"/>
      <c r="G55" s="45"/>
      <c r="H55" s="436"/>
      <c r="I55" s="383"/>
      <c r="J55" s="437"/>
      <c r="K55" s="372"/>
      <c r="L55" s="438"/>
      <c r="M55" s="439"/>
      <c r="N55" s="440"/>
      <c r="O55" s="372"/>
      <c r="P55" s="438"/>
      <c r="Q55" s="439"/>
      <c r="R55" s="440"/>
      <c r="S55" s="372"/>
      <c r="T55" s="356"/>
      <c r="U55" s="352"/>
      <c r="V55" s="357"/>
      <c r="W55" s="372"/>
      <c r="X55" s="351"/>
      <c r="Y55" s="352"/>
      <c r="Z55" s="353"/>
      <c r="AA55" s="381"/>
      <c r="AB55" s="380"/>
      <c r="AC55" s="374"/>
      <c r="AD55" s="381"/>
      <c r="AE55" s="2"/>
    </row>
    <row r="56" spans="1:34" s="7" customFormat="1" ht="63.75" customHeight="1" x14ac:dyDescent="0.25">
      <c r="A56" s="6"/>
      <c r="B56" s="2"/>
      <c r="C56" s="509"/>
      <c r="D56" s="161"/>
      <c r="E56" s="8"/>
      <c r="F56" s="57"/>
      <c r="G56" s="45"/>
      <c r="H56" s="340"/>
      <c r="I56" s="341"/>
      <c r="J56" s="342"/>
      <c r="K56" s="372"/>
      <c r="L56" s="340"/>
      <c r="M56" s="341"/>
      <c r="N56" s="342"/>
      <c r="O56" s="372"/>
      <c r="P56" s="340"/>
      <c r="Q56" s="341"/>
      <c r="R56" s="342"/>
      <c r="S56" s="372"/>
      <c r="T56" s="340"/>
      <c r="U56" s="341"/>
      <c r="V56" s="342"/>
      <c r="W56" s="372"/>
      <c r="X56" s="340"/>
      <c r="Y56" s="341"/>
      <c r="Z56" s="342"/>
      <c r="AA56" s="372"/>
      <c r="AB56" s="340"/>
      <c r="AC56" s="341"/>
      <c r="AD56" s="342"/>
      <c r="AE56" s="2"/>
      <c r="AG56" s="183">
        <f>D59+H59+L59+P59+T59+X59+AB59</f>
        <v>1</v>
      </c>
      <c r="AH56" s="181" t="s">
        <v>61</v>
      </c>
    </row>
    <row r="57" spans="1:34" s="7" customFormat="1" ht="45" customHeight="1" x14ac:dyDescent="0.25">
      <c r="A57" s="6"/>
      <c r="B57" s="2"/>
      <c r="C57" s="510"/>
      <c r="D57" s="55"/>
      <c r="E57" s="40"/>
      <c r="F57" s="58"/>
      <c r="G57" s="45"/>
      <c r="H57" s="358"/>
      <c r="I57" s="359"/>
      <c r="J57" s="360"/>
      <c r="K57" s="372"/>
      <c r="L57" s="358"/>
      <c r="M57" s="359"/>
      <c r="N57" s="360"/>
      <c r="O57" s="372"/>
      <c r="P57" s="358"/>
      <c r="Q57" s="359"/>
      <c r="R57" s="360"/>
      <c r="S57" s="372"/>
      <c r="T57" s="361">
        <v>1</v>
      </c>
      <c r="U57" s="362" t="s">
        <v>156</v>
      </c>
      <c r="V57" s="363">
        <v>1</v>
      </c>
      <c r="W57" s="372"/>
      <c r="X57" s="361"/>
      <c r="Y57" s="362"/>
      <c r="Z57" s="363"/>
      <c r="AA57" s="372"/>
      <c r="AB57" s="361"/>
      <c r="AC57" s="362"/>
      <c r="AD57" s="363"/>
      <c r="AE57" s="2"/>
      <c r="AG57" s="183">
        <f>F59+J59+N59+R59+V59+Z59+AD59</f>
        <v>42</v>
      </c>
      <c r="AH57" s="182" t="s">
        <v>62</v>
      </c>
    </row>
    <row r="58" spans="1:34" ht="45" customHeight="1" thickBot="1" x14ac:dyDescent="0.3">
      <c r="A58" s="6"/>
      <c r="B58" s="2"/>
      <c r="C58" s="510"/>
      <c r="D58" s="50"/>
      <c r="E58" s="9"/>
      <c r="F58" s="133"/>
      <c r="G58" s="45"/>
      <c r="H58" s="351"/>
      <c r="I58" s="352"/>
      <c r="J58" s="353"/>
      <c r="K58" s="372"/>
      <c r="L58" s="351"/>
      <c r="M58" s="352"/>
      <c r="N58" s="353"/>
      <c r="O58" s="372"/>
      <c r="P58" s="351"/>
      <c r="Q58" s="352"/>
      <c r="R58" s="353"/>
      <c r="S58" s="372"/>
      <c r="T58" s="351"/>
      <c r="U58" s="352" t="s">
        <v>154</v>
      </c>
      <c r="V58" s="353"/>
      <c r="W58" s="372"/>
      <c r="X58" s="373"/>
      <c r="Y58" s="374"/>
      <c r="Z58" s="375"/>
      <c r="AA58" s="372"/>
      <c r="AB58" s="373"/>
      <c r="AC58" s="374"/>
      <c r="AD58" s="375"/>
      <c r="AE58" s="2"/>
    </row>
    <row r="59" spans="1:34" s="180" customFormat="1" ht="20.25" customHeight="1" thickBot="1" x14ac:dyDescent="0.3">
      <c r="A59" s="179"/>
      <c r="B59" s="176"/>
      <c r="C59" s="177"/>
      <c r="D59" s="178">
        <f>SUM(D46:D58)</f>
        <v>0</v>
      </c>
      <c r="E59" s="176"/>
      <c r="F59" s="178">
        <f>SUM(F47:F58)</f>
        <v>5</v>
      </c>
      <c r="G59" s="179"/>
      <c r="H59" s="178">
        <f>SUM(H46:H58)</f>
        <v>0</v>
      </c>
      <c r="I59" s="176"/>
      <c r="J59" s="178">
        <f>SUM(J47:J58)</f>
        <v>6</v>
      </c>
      <c r="K59" s="179"/>
      <c r="L59" s="178">
        <f>SUM(L46:L58)</f>
        <v>0</v>
      </c>
      <c r="M59" s="176"/>
      <c r="N59" s="178">
        <f>SUM(N47:N58)</f>
        <v>6</v>
      </c>
      <c r="O59" s="179"/>
      <c r="P59" s="178">
        <f>SUM(P46:P58)</f>
        <v>0</v>
      </c>
      <c r="Q59" s="176"/>
      <c r="R59" s="178">
        <f>SUM(R47:R58)</f>
        <v>6</v>
      </c>
      <c r="S59" s="179"/>
      <c r="T59" s="178">
        <f>SUM(T46:T58)</f>
        <v>1</v>
      </c>
      <c r="U59" s="176"/>
      <c r="V59" s="178">
        <f>SUM(V47:V58)</f>
        <v>7</v>
      </c>
      <c r="W59" s="179"/>
      <c r="X59" s="178">
        <f>SUM(X46:X58)</f>
        <v>0</v>
      </c>
      <c r="Y59" s="176"/>
      <c r="Z59" s="178">
        <f>SUM(Z47:Z58)</f>
        <v>6</v>
      </c>
      <c r="AA59" s="179"/>
      <c r="AB59" s="178">
        <f>SUM(AB46:AB58)</f>
        <v>0</v>
      </c>
      <c r="AC59" s="176"/>
      <c r="AD59" s="178">
        <f>SUM(AD47:AD58)</f>
        <v>6</v>
      </c>
      <c r="AE59" s="176"/>
    </row>
    <row r="60" spans="1:34" ht="18.75" thickBot="1" x14ac:dyDescent="0.3">
      <c r="A60" s="6"/>
      <c r="B60" s="2"/>
      <c r="C60" s="136"/>
      <c r="D60" s="99"/>
      <c r="E60" s="100">
        <v>26</v>
      </c>
      <c r="F60" s="101"/>
      <c r="G60" s="46"/>
      <c r="H60" s="325"/>
      <c r="I60" s="326">
        <v>27</v>
      </c>
      <c r="J60" s="327"/>
      <c r="K60" s="41"/>
      <c r="L60" s="325"/>
      <c r="M60" s="326">
        <v>28</v>
      </c>
      <c r="N60" s="327"/>
      <c r="O60" s="41"/>
      <c r="P60" s="325"/>
      <c r="Q60" s="326">
        <v>29</v>
      </c>
      <c r="R60" s="327"/>
      <c r="S60" s="41"/>
      <c r="T60" s="325"/>
      <c r="U60" s="326">
        <v>30</v>
      </c>
      <c r="V60" s="327"/>
      <c r="W60" s="41"/>
      <c r="X60" s="328"/>
      <c r="Y60" s="329"/>
      <c r="Z60" s="330"/>
      <c r="AA60" s="41"/>
      <c r="AB60" s="329"/>
      <c r="AC60" s="329"/>
      <c r="AD60" s="330"/>
      <c r="AE60" s="2"/>
    </row>
    <row r="61" spans="1:34" ht="21.95" customHeight="1" x14ac:dyDescent="0.25">
      <c r="A61" s="6"/>
      <c r="B61" s="2"/>
      <c r="C61" s="500" t="s">
        <v>46</v>
      </c>
      <c r="D61" s="366">
        <v>0</v>
      </c>
      <c r="E61" s="367">
        <v>8350574</v>
      </c>
      <c r="F61" s="342">
        <v>2</v>
      </c>
      <c r="G61" s="368"/>
      <c r="H61" s="366">
        <v>0</v>
      </c>
      <c r="I61" s="367">
        <v>8350575</v>
      </c>
      <c r="J61" s="342">
        <v>2</v>
      </c>
      <c r="K61" s="368"/>
      <c r="L61" s="366">
        <v>0</v>
      </c>
      <c r="M61" s="367">
        <v>8350576</v>
      </c>
      <c r="N61" s="342">
        <v>2</v>
      </c>
      <c r="O61" s="41"/>
      <c r="P61" s="366">
        <v>0</v>
      </c>
      <c r="Q61" s="367">
        <v>8350577</v>
      </c>
      <c r="R61" s="342">
        <v>2</v>
      </c>
      <c r="S61" s="41"/>
      <c r="T61" s="413"/>
      <c r="U61" s="414"/>
      <c r="V61" s="415"/>
      <c r="W61" s="41"/>
      <c r="X61" s="155"/>
      <c r="Y61" s="185"/>
      <c r="Z61" s="156"/>
      <c r="AA61" s="41"/>
      <c r="AB61" s="390"/>
      <c r="AC61" s="185"/>
      <c r="AD61" s="156"/>
      <c r="AE61" s="2"/>
    </row>
    <row r="62" spans="1:34" ht="21.95" customHeight="1" x14ac:dyDescent="0.25">
      <c r="A62" s="6"/>
      <c r="B62" s="2"/>
      <c r="C62" s="501"/>
      <c r="D62" s="369">
        <v>0</v>
      </c>
      <c r="E62" s="370">
        <v>8350812</v>
      </c>
      <c r="F62" s="371">
        <v>2</v>
      </c>
      <c r="G62" s="368"/>
      <c r="H62" s="369">
        <v>0</v>
      </c>
      <c r="I62" s="370">
        <v>8350813</v>
      </c>
      <c r="J62" s="371">
        <v>2</v>
      </c>
      <c r="K62" s="368"/>
      <c r="L62" s="369">
        <v>0</v>
      </c>
      <c r="M62" s="370">
        <v>8350814</v>
      </c>
      <c r="N62" s="371">
        <v>2</v>
      </c>
      <c r="O62" s="41"/>
      <c r="P62" s="369">
        <v>0</v>
      </c>
      <c r="Q62" s="370">
        <v>8350815</v>
      </c>
      <c r="R62" s="371">
        <v>2</v>
      </c>
      <c r="S62" s="41"/>
      <c r="T62" s="369">
        <v>1</v>
      </c>
      <c r="U62" s="370">
        <v>8350816</v>
      </c>
      <c r="V62" s="371">
        <v>33</v>
      </c>
      <c r="W62" s="41"/>
      <c r="X62" s="157"/>
      <c r="Y62" s="186"/>
      <c r="Z62" s="158"/>
      <c r="AA62" s="41"/>
      <c r="AB62" s="391"/>
      <c r="AC62" s="186"/>
      <c r="AD62" s="158"/>
      <c r="AE62" s="2"/>
    </row>
    <row r="63" spans="1:34" ht="21.95" customHeight="1" thickBot="1" x14ac:dyDescent="0.3">
      <c r="A63" s="6"/>
      <c r="B63" s="2"/>
      <c r="C63" s="502"/>
      <c r="D63" s="369">
        <v>0</v>
      </c>
      <c r="E63" s="370">
        <v>8351283</v>
      </c>
      <c r="F63" s="371">
        <v>2</v>
      </c>
      <c r="G63" s="368"/>
      <c r="H63" s="369">
        <v>0</v>
      </c>
      <c r="I63" s="370">
        <v>8351284</v>
      </c>
      <c r="J63" s="371">
        <v>2</v>
      </c>
      <c r="K63" s="368"/>
      <c r="L63" s="369">
        <v>0</v>
      </c>
      <c r="M63" s="370">
        <v>8351285</v>
      </c>
      <c r="N63" s="371">
        <v>2</v>
      </c>
      <c r="O63" s="41"/>
      <c r="P63" s="369">
        <v>0</v>
      </c>
      <c r="Q63" s="370">
        <v>8351286</v>
      </c>
      <c r="R63" s="371">
        <v>2</v>
      </c>
      <c r="S63" s="41"/>
      <c r="T63" s="369">
        <v>1</v>
      </c>
      <c r="U63" s="370">
        <v>8351287</v>
      </c>
      <c r="V63" s="371">
        <v>26</v>
      </c>
      <c r="W63" s="41"/>
      <c r="X63" s="157"/>
      <c r="Y63" s="186"/>
      <c r="Z63" s="158"/>
      <c r="AA63" s="41"/>
      <c r="AB63" s="391"/>
      <c r="AC63" s="186"/>
      <c r="AD63" s="158"/>
      <c r="AE63" s="2"/>
    </row>
    <row r="64" spans="1:34" ht="21.95" customHeight="1" x14ac:dyDescent="0.25">
      <c r="A64" s="6"/>
      <c r="B64" s="2"/>
      <c r="C64" s="506" t="s">
        <v>55</v>
      </c>
      <c r="D64" s="320"/>
      <c r="E64" s="321"/>
      <c r="F64" s="322"/>
      <c r="G64" s="41"/>
      <c r="H64" s="320"/>
      <c r="I64" s="321"/>
      <c r="J64" s="322"/>
      <c r="K64" s="41"/>
      <c r="L64" s="320"/>
      <c r="M64" s="321"/>
      <c r="N64" s="322"/>
      <c r="O64" s="41"/>
      <c r="P64" s="320"/>
      <c r="Q64" s="321"/>
      <c r="R64" s="322"/>
      <c r="S64" s="41"/>
      <c r="T64" s="320"/>
      <c r="U64" s="321"/>
      <c r="V64" s="322"/>
      <c r="W64" s="41"/>
      <c r="X64" s="155"/>
      <c r="Y64" s="331"/>
      <c r="Z64" s="156"/>
      <c r="AA64" s="41"/>
      <c r="AB64" s="390"/>
      <c r="AC64" s="331"/>
      <c r="AD64" s="156"/>
      <c r="AE64" s="2"/>
    </row>
    <row r="65" spans="1:35" ht="21.95" customHeight="1" x14ac:dyDescent="0.25">
      <c r="A65" s="6"/>
      <c r="B65" s="2"/>
      <c r="C65" s="507"/>
      <c r="D65" s="263"/>
      <c r="E65" s="323"/>
      <c r="F65" s="324"/>
      <c r="G65" s="41"/>
      <c r="H65" s="263"/>
      <c r="I65" s="323"/>
      <c r="J65" s="324"/>
      <c r="K65" s="41"/>
      <c r="L65" s="263"/>
      <c r="M65" s="323"/>
      <c r="N65" s="324"/>
      <c r="O65" s="41"/>
      <c r="P65" s="263"/>
      <c r="Q65" s="323"/>
      <c r="R65" s="324"/>
      <c r="S65" s="41"/>
      <c r="T65" s="263"/>
      <c r="U65" s="323"/>
      <c r="V65" s="324"/>
      <c r="W65" s="41"/>
      <c r="X65" s="157"/>
      <c r="Y65" s="315"/>
      <c r="Z65" s="316"/>
      <c r="AA65" s="41"/>
      <c r="AB65" s="391"/>
      <c r="AC65" s="315"/>
      <c r="AD65" s="316"/>
      <c r="AE65" s="2"/>
    </row>
    <row r="66" spans="1:35" ht="21.95" customHeight="1" thickBot="1" x14ac:dyDescent="0.3">
      <c r="A66" s="6"/>
      <c r="B66" s="2"/>
      <c r="C66" s="508"/>
      <c r="D66" s="263"/>
      <c r="E66" s="323"/>
      <c r="F66" s="324"/>
      <c r="G66" s="41"/>
      <c r="H66" s="263"/>
      <c r="I66" s="323"/>
      <c r="J66" s="324"/>
      <c r="K66" s="41"/>
      <c r="L66" s="263"/>
      <c r="M66" s="323"/>
      <c r="N66" s="324"/>
      <c r="O66" s="41"/>
      <c r="P66" s="263"/>
      <c r="Q66" s="323"/>
      <c r="R66" s="324"/>
      <c r="S66" s="41"/>
      <c r="T66" s="263"/>
      <c r="U66" s="323"/>
      <c r="V66" s="324"/>
      <c r="W66" s="41"/>
      <c r="X66" s="157"/>
      <c r="Y66" s="315"/>
      <c r="Z66" s="316"/>
      <c r="AA66" s="41"/>
      <c r="AB66" s="391"/>
      <c r="AC66" s="315"/>
      <c r="AD66" s="316"/>
      <c r="AE66" s="2"/>
    </row>
    <row r="67" spans="1:35" ht="30" customHeight="1" x14ac:dyDescent="0.25">
      <c r="A67" s="6"/>
      <c r="B67" s="2"/>
      <c r="C67" s="655"/>
      <c r="D67" s="377"/>
      <c r="E67" s="341"/>
      <c r="F67" s="378"/>
      <c r="G67" s="372"/>
      <c r="H67" s="340"/>
      <c r="I67" s="341"/>
      <c r="J67" s="342"/>
      <c r="K67" s="372"/>
      <c r="L67" s="340"/>
      <c r="M67" s="341"/>
      <c r="N67" s="342"/>
      <c r="O67" s="45"/>
      <c r="P67" s="340"/>
      <c r="Q67" s="341"/>
      <c r="R67" s="342"/>
      <c r="S67" s="45"/>
      <c r="T67" s="340"/>
      <c r="U67" s="341"/>
      <c r="V67" s="342"/>
      <c r="W67" s="45"/>
      <c r="X67" s="264"/>
      <c r="Y67" s="190"/>
      <c r="Z67" s="160"/>
      <c r="AA67" s="397"/>
      <c r="AB67" s="392"/>
      <c r="AC67" s="190"/>
      <c r="AD67" s="160"/>
      <c r="AE67" s="2"/>
      <c r="AG67" s="183"/>
      <c r="AH67" s="181"/>
    </row>
    <row r="68" spans="1:35" ht="30" customHeight="1" x14ac:dyDescent="0.25">
      <c r="A68" s="6"/>
      <c r="B68" s="2"/>
      <c r="C68" s="510"/>
      <c r="D68" s="369"/>
      <c r="E68" s="362"/>
      <c r="F68" s="379"/>
      <c r="G68" s="372"/>
      <c r="H68" s="369"/>
      <c r="I68" s="362"/>
      <c r="J68" s="379"/>
      <c r="K68" s="372"/>
      <c r="L68" s="369"/>
      <c r="M68" s="362"/>
      <c r="N68" s="379"/>
      <c r="O68" s="45"/>
      <c r="P68" s="369"/>
      <c r="Q68" s="362"/>
      <c r="R68" s="379"/>
      <c r="S68" s="45"/>
      <c r="T68" s="369"/>
      <c r="U68" s="362"/>
      <c r="V68" s="379"/>
      <c r="W68" s="45"/>
      <c r="X68" s="157"/>
      <c r="Y68" s="221"/>
      <c r="Z68" s="236"/>
      <c r="AA68" s="46"/>
      <c r="AB68" s="391"/>
      <c r="AC68" s="221"/>
      <c r="AD68" s="236"/>
      <c r="AE68" s="2"/>
      <c r="AG68" s="183"/>
      <c r="AH68" s="182"/>
    </row>
    <row r="69" spans="1:35" ht="30" customHeight="1" thickBot="1" x14ac:dyDescent="0.3">
      <c r="A69" s="6"/>
      <c r="B69" s="2"/>
      <c r="C69" s="510"/>
      <c r="D69" s="380"/>
      <c r="E69" s="374"/>
      <c r="F69" s="381"/>
      <c r="G69" s="372"/>
      <c r="H69" s="380"/>
      <c r="I69" s="374"/>
      <c r="J69" s="381"/>
      <c r="K69" s="372"/>
      <c r="L69" s="380"/>
      <c r="M69" s="374"/>
      <c r="N69" s="381"/>
      <c r="O69" s="45"/>
      <c r="P69" s="380"/>
      <c r="Q69" s="374"/>
      <c r="R69" s="381"/>
      <c r="S69" s="45"/>
      <c r="T69" s="380"/>
      <c r="U69" s="374"/>
      <c r="V69" s="381"/>
      <c r="W69" s="45"/>
      <c r="X69" s="187"/>
      <c r="Y69" s="222"/>
      <c r="Z69" s="188"/>
      <c r="AA69" s="397"/>
      <c r="AB69" s="393"/>
      <c r="AC69" s="222"/>
      <c r="AD69" s="188"/>
      <c r="AE69" s="2"/>
    </row>
    <row r="70" spans="1:35" s="7" customFormat="1" ht="45" customHeight="1" x14ac:dyDescent="0.25">
      <c r="A70" s="6"/>
      <c r="B70" s="2"/>
      <c r="C70" s="509"/>
      <c r="D70" s="340"/>
      <c r="E70" s="341"/>
      <c r="F70" s="342"/>
      <c r="G70" s="372"/>
      <c r="H70" s="340"/>
      <c r="I70" s="341"/>
      <c r="J70" s="342"/>
      <c r="K70" s="372"/>
      <c r="L70" s="340"/>
      <c r="M70" s="341"/>
      <c r="N70" s="342"/>
      <c r="O70" s="45"/>
      <c r="P70" s="340"/>
      <c r="Q70" s="341"/>
      <c r="R70" s="342"/>
      <c r="S70" s="45"/>
      <c r="T70" s="340"/>
      <c r="U70" s="412" t="s">
        <v>138</v>
      </c>
      <c r="V70" s="342"/>
      <c r="W70" s="45"/>
      <c r="X70" s="332"/>
      <c r="Y70" s="190"/>
      <c r="Z70" s="156"/>
      <c r="AA70" s="45"/>
      <c r="AB70" s="394"/>
      <c r="AC70" s="190"/>
      <c r="AD70" s="156"/>
      <c r="AE70" s="2"/>
      <c r="AG70" s="183">
        <f>D73+H73+L73+P73+T73+X73+AB73</f>
        <v>2</v>
      </c>
      <c r="AH70" s="181" t="s">
        <v>61</v>
      </c>
      <c r="AI70" s="181"/>
    </row>
    <row r="71" spans="1:35" s="7" customFormat="1" ht="45" customHeight="1" x14ac:dyDescent="0.25">
      <c r="A71" s="6"/>
      <c r="B71" s="2"/>
      <c r="C71" s="510"/>
      <c r="D71" s="361"/>
      <c r="E71" s="362"/>
      <c r="F71" s="363"/>
      <c r="G71" s="372"/>
      <c r="H71" s="361"/>
      <c r="I71" s="362"/>
      <c r="J71" s="363"/>
      <c r="K71" s="372"/>
      <c r="L71" s="361"/>
      <c r="M71" s="362"/>
      <c r="N71" s="363"/>
      <c r="O71" s="45"/>
      <c r="P71" s="361"/>
      <c r="Q71" s="362"/>
      <c r="R71" s="363"/>
      <c r="S71" s="45"/>
      <c r="T71" s="361"/>
      <c r="U71" s="362"/>
      <c r="V71" s="363"/>
      <c r="W71" s="45"/>
      <c r="X71" s="260"/>
      <c r="Y71" s="221"/>
      <c r="Z71" s="261"/>
      <c r="AA71" s="45"/>
      <c r="AB71" s="395"/>
      <c r="AC71" s="221"/>
      <c r="AD71" s="261"/>
      <c r="AE71" s="2"/>
      <c r="AG71" s="183">
        <f>F73+J73+N73+R73+V73+Z73+AD73</f>
        <v>83</v>
      </c>
      <c r="AH71" s="182" t="s">
        <v>62</v>
      </c>
      <c r="AI71" s="182"/>
    </row>
    <row r="72" spans="1:35" ht="45" customHeight="1" thickBot="1" x14ac:dyDescent="0.3">
      <c r="A72" s="6"/>
      <c r="B72" s="2"/>
      <c r="C72" s="510"/>
      <c r="D72" s="373"/>
      <c r="E72" s="374"/>
      <c r="F72" s="375"/>
      <c r="G72" s="372"/>
      <c r="H72" s="373"/>
      <c r="I72" s="374"/>
      <c r="J72" s="375"/>
      <c r="K72" s="372"/>
      <c r="L72" s="373"/>
      <c r="M72" s="374"/>
      <c r="N72" s="375"/>
      <c r="O72" s="45"/>
      <c r="P72" s="373"/>
      <c r="Q72" s="374"/>
      <c r="R72" s="375"/>
      <c r="S72" s="45"/>
      <c r="T72" s="373"/>
      <c r="U72" s="374"/>
      <c r="V72" s="375"/>
      <c r="W72" s="45"/>
      <c r="X72" s="159"/>
      <c r="Y72" s="222"/>
      <c r="Z72" s="333"/>
      <c r="AA72" s="45"/>
      <c r="AB72" s="396"/>
      <c r="AC72" s="222"/>
      <c r="AD72" s="333"/>
      <c r="AE72" s="2"/>
    </row>
    <row r="73" spans="1:35" s="180" customFormat="1" ht="20.25" customHeight="1" x14ac:dyDescent="0.25">
      <c r="A73" s="179"/>
      <c r="B73" s="176"/>
      <c r="C73" s="177"/>
      <c r="D73" s="178">
        <f>SUM(D60:D72)</f>
        <v>0</v>
      </c>
      <c r="E73" s="176"/>
      <c r="F73" s="178">
        <f>SUM(F61:F72)</f>
        <v>6</v>
      </c>
      <c r="G73" s="179"/>
      <c r="H73" s="178">
        <f>SUM(H60:H72)</f>
        <v>0</v>
      </c>
      <c r="I73" s="176"/>
      <c r="J73" s="178">
        <f>SUM(J61:J72)</f>
        <v>6</v>
      </c>
      <c r="K73" s="179"/>
      <c r="L73" s="178">
        <f>SUM(L60:L72)</f>
        <v>0</v>
      </c>
      <c r="M73" s="176"/>
      <c r="N73" s="178">
        <f>SUM(N61:N72)</f>
        <v>6</v>
      </c>
      <c r="O73" s="179"/>
      <c r="P73" s="178">
        <f>SUM(P60:P72)</f>
        <v>0</v>
      </c>
      <c r="Q73" s="176"/>
      <c r="R73" s="178">
        <f>SUM(R61:R72)</f>
        <v>6</v>
      </c>
      <c r="S73" s="179"/>
      <c r="T73" s="178">
        <f>SUM(T60:T72)</f>
        <v>2</v>
      </c>
      <c r="U73" s="176"/>
      <c r="V73" s="178">
        <f>SUM(V61:V72)</f>
        <v>59</v>
      </c>
      <c r="W73" s="179"/>
      <c r="X73" s="178">
        <f>SUM(X60:X72)</f>
        <v>0</v>
      </c>
      <c r="Y73" s="176"/>
      <c r="Z73" s="178">
        <f>SUM(Z61:Z72)</f>
        <v>0</v>
      </c>
      <c r="AA73" s="179"/>
      <c r="AB73" s="178">
        <f>SUM(AB60:AB72)</f>
        <v>0</v>
      </c>
      <c r="AC73" s="176"/>
      <c r="AD73" s="178">
        <f>SUM(AD61:AD72)</f>
        <v>0</v>
      </c>
      <c r="AE73" s="176"/>
    </row>
    <row r="74" spans="1:35" s="65" customFormat="1" ht="48" customHeight="1" x14ac:dyDescent="0.25">
      <c r="A74" s="64"/>
      <c r="B74" s="62"/>
      <c r="C74" s="137"/>
      <c r="D74" s="62"/>
      <c r="E74" s="62"/>
      <c r="F74" s="62"/>
      <c r="G74" s="62"/>
      <c r="H74" s="62"/>
      <c r="I74" s="62"/>
      <c r="J74" s="62"/>
      <c r="K74" s="62"/>
      <c r="L74" s="63">
        <f>SUM(L59:L72)</f>
        <v>0</v>
      </c>
      <c r="M74" s="62"/>
      <c r="N74" s="62"/>
      <c r="O74" s="62"/>
      <c r="P74" s="650" t="s">
        <v>25</v>
      </c>
      <c r="Q74" s="651"/>
      <c r="R74" s="651"/>
      <c r="S74" s="651"/>
      <c r="T74" s="651"/>
      <c r="U74" s="651"/>
      <c r="V74" s="651"/>
      <c r="W74" s="62"/>
      <c r="X74" s="645" t="s">
        <v>26</v>
      </c>
      <c r="Y74" s="646"/>
      <c r="Z74" s="646"/>
      <c r="AA74" s="646"/>
      <c r="AB74" s="646"/>
      <c r="AC74" s="646"/>
      <c r="AD74" s="646"/>
      <c r="AE74" s="62"/>
    </row>
    <row r="75" spans="1:35" s="65" customFormat="1" ht="31.5" customHeight="1" x14ac:dyDescent="0.4">
      <c r="A75" s="64"/>
      <c r="B75" s="62"/>
      <c r="C75" s="137"/>
      <c r="D75" s="62"/>
      <c r="E75" s="62"/>
      <c r="F75" s="62"/>
      <c r="G75" s="62"/>
      <c r="H75" s="62"/>
      <c r="I75" s="62"/>
      <c r="J75" s="62"/>
      <c r="K75" s="62"/>
      <c r="L75" s="63"/>
      <c r="M75" s="62"/>
      <c r="N75" s="62"/>
      <c r="O75" s="62"/>
      <c r="P75" s="111"/>
      <c r="Q75" s="652" t="s">
        <v>36</v>
      </c>
      <c r="R75" s="654"/>
      <c r="S75" s="113"/>
      <c r="T75" s="652" t="s">
        <v>35</v>
      </c>
      <c r="U75" s="653"/>
      <c r="V75" s="112"/>
      <c r="W75" s="62"/>
      <c r="X75" s="107"/>
      <c r="Y75" s="662" t="s">
        <v>36</v>
      </c>
      <c r="Z75" s="663"/>
      <c r="AA75" s="113"/>
      <c r="AB75" s="662" t="s">
        <v>35</v>
      </c>
      <c r="AC75" s="663"/>
      <c r="AD75" s="120"/>
      <c r="AE75" s="62"/>
      <c r="AG75" s="181" t="s">
        <v>61</v>
      </c>
      <c r="AI75" s="182" t="s">
        <v>62</v>
      </c>
    </row>
    <row r="76" spans="1:35" s="65" customFormat="1" ht="3" customHeight="1" thickBot="1" x14ac:dyDescent="0.3">
      <c r="A76" s="64"/>
      <c r="B76" s="62"/>
      <c r="C76" s="137"/>
      <c r="D76" s="63"/>
      <c r="E76" s="62"/>
      <c r="F76" s="63"/>
      <c r="G76" s="64"/>
      <c r="H76" s="63"/>
      <c r="I76" s="62"/>
      <c r="J76" s="63"/>
      <c r="K76" s="64"/>
      <c r="L76" s="63"/>
      <c r="M76" s="62"/>
      <c r="N76" s="63"/>
      <c r="O76" s="64"/>
      <c r="P76" s="63"/>
      <c r="Q76" s="62"/>
      <c r="R76" s="63"/>
      <c r="S76" s="64"/>
      <c r="T76" s="63"/>
      <c r="U76" s="62"/>
      <c r="V76" s="63"/>
      <c r="W76" s="64"/>
      <c r="X76" s="63"/>
      <c r="Y76" s="621"/>
      <c r="Z76" s="622"/>
      <c r="AA76" s="622"/>
      <c r="AB76" s="622"/>
      <c r="AC76" s="622"/>
      <c r="AD76" s="63"/>
      <c r="AE76" s="62"/>
    </row>
    <row r="77" spans="1:35" s="65" customFormat="1" ht="33.75" customHeight="1" x14ac:dyDescent="0.25">
      <c r="A77" s="64"/>
      <c r="B77" s="62"/>
      <c r="C77" s="137"/>
      <c r="D77" s="575" t="s">
        <v>37</v>
      </c>
      <c r="E77" s="539"/>
      <c r="F77" s="539"/>
      <c r="G77" s="539"/>
      <c r="H77" s="539"/>
      <c r="I77" s="539"/>
      <c r="J77" s="532">
        <v>5</v>
      </c>
      <c r="K77" s="533"/>
      <c r="L77" s="534"/>
      <c r="M77" s="62"/>
      <c r="N77" s="63"/>
      <c r="O77" s="64"/>
      <c r="P77" s="62"/>
      <c r="Q77" s="515">
        <f>D17+H17+L17+P17+T17+X17+AB17+D31+H31+L31+P31+T31+X31+AB31+D45+H45+L45+P45+T45+X45+AB45+D59+H59+L59+P59+T59+X59+AB59+D73+H73+L73+P73+T73+X73+AB73+J77</f>
        <v>12</v>
      </c>
      <c r="R77" s="516"/>
      <c r="S77" s="105"/>
      <c r="T77" s="519">
        <v>24</v>
      </c>
      <c r="U77" s="520"/>
      <c r="V77" s="108"/>
      <c r="W77" s="108"/>
      <c r="X77" s="109"/>
      <c r="Y77" s="515">
        <f>F17+J17+N17+R17+V17+Z17+AD17+F31+J31+N31+R31+V31+Z31+AD31+F45+J45+N45+R45+V45+Z45+AD45+F59+J59+N59+R59+V59+Z59+AD59+F73+J73+N73+R73+V73+Z73+AD73</f>
        <v>264</v>
      </c>
      <c r="Z77" s="516"/>
      <c r="AA77" s="105"/>
      <c r="AB77" s="523">
        <v>280</v>
      </c>
      <c r="AC77" s="524"/>
      <c r="AD77" s="62"/>
      <c r="AE77" s="62"/>
      <c r="AG77" s="184">
        <f>AG14+AG28+AG42+AG56+AG70+J77</f>
        <v>12</v>
      </c>
      <c r="AH77" s="184"/>
      <c r="AI77" s="184">
        <f>AG15+AG29+AG43+AG57+AG71</f>
        <v>264</v>
      </c>
    </row>
    <row r="78" spans="1:35" ht="54" customHeight="1" thickBot="1" x14ac:dyDescent="0.3">
      <c r="A78" s="6"/>
      <c r="B78" s="2"/>
      <c r="C78" s="138"/>
      <c r="D78" s="539"/>
      <c r="E78" s="539"/>
      <c r="F78" s="539"/>
      <c r="G78" s="539"/>
      <c r="H78" s="539"/>
      <c r="I78" s="539"/>
      <c r="J78" s="535"/>
      <c r="K78" s="536"/>
      <c r="L78" s="537"/>
      <c r="M78" s="2"/>
      <c r="N78" s="1"/>
      <c r="O78" s="1"/>
      <c r="P78" s="110"/>
      <c r="Q78" s="517"/>
      <c r="R78" s="518"/>
      <c r="S78" s="106"/>
      <c r="T78" s="521"/>
      <c r="U78" s="522"/>
      <c r="V78" s="108"/>
      <c r="W78" s="108"/>
      <c r="X78" s="109"/>
      <c r="Y78" s="517"/>
      <c r="Z78" s="518"/>
      <c r="AA78" s="106"/>
      <c r="AB78" s="525"/>
      <c r="AC78" s="526"/>
      <c r="AD78" s="2"/>
      <c r="AE78" s="2"/>
    </row>
    <row r="79" spans="1:35" ht="6.75" customHeight="1" thickBot="1" x14ac:dyDescent="0.3">
      <c r="A79" s="6"/>
      <c r="B79" s="2"/>
      <c r="C79" s="138"/>
      <c r="D79" s="120"/>
      <c r="E79" s="120"/>
      <c r="F79" s="120"/>
      <c r="G79" s="120"/>
      <c r="H79" s="120"/>
      <c r="I79" s="120"/>
      <c r="J79" s="122"/>
      <c r="K79" s="122"/>
      <c r="L79" s="122"/>
      <c r="M79" s="2"/>
      <c r="N79" s="1"/>
      <c r="O79" s="1"/>
      <c r="P79" s="110"/>
      <c r="Q79" s="123"/>
      <c r="R79" s="66"/>
      <c r="S79" s="1"/>
      <c r="T79" s="124"/>
      <c r="U79" s="124"/>
      <c r="V79" s="120"/>
      <c r="W79" s="120"/>
      <c r="X79" s="121"/>
      <c r="Y79" s="123"/>
      <c r="Z79" s="66"/>
      <c r="AA79" s="1"/>
      <c r="AB79" s="125"/>
      <c r="AC79" s="125"/>
      <c r="AD79" s="2"/>
      <c r="AE79" s="2"/>
    </row>
    <row r="80" spans="1:35" ht="75.75" customHeight="1" thickBot="1" x14ac:dyDescent="0.3">
      <c r="A80" s="6"/>
      <c r="B80" s="2"/>
      <c r="C80" s="138"/>
      <c r="D80" s="120"/>
      <c r="E80" s="120"/>
      <c r="F80" s="120"/>
      <c r="G80" s="120"/>
      <c r="H80" s="120"/>
      <c r="I80" s="120"/>
      <c r="J80" s="122"/>
      <c r="K80" s="122"/>
      <c r="L80" s="122"/>
      <c r="M80" s="2"/>
      <c r="N80" s="1"/>
      <c r="O80" s="1"/>
      <c r="P80" s="110"/>
      <c r="Q80" s="127" t="s">
        <v>44</v>
      </c>
      <c r="R80" s="580">
        <f>T77-Q77</f>
        <v>12</v>
      </c>
      <c r="S80" s="581"/>
      <c r="T80" s="582"/>
      <c r="U80" s="237"/>
      <c r="W80" s="2"/>
      <c r="Y80" s="127" t="s">
        <v>44</v>
      </c>
      <c r="Z80" s="580">
        <f>AB77-Y77</f>
        <v>16</v>
      </c>
      <c r="AA80" s="581"/>
      <c r="AB80" s="582"/>
      <c r="AC80" s="238"/>
      <c r="AD80" s="2"/>
      <c r="AE80" s="2"/>
    </row>
    <row r="81" spans="1:36" ht="6.75" customHeight="1" x14ac:dyDescent="0.25">
      <c r="A81" s="6"/>
      <c r="B81" s="2"/>
      <c r="C81" s="138"/>
      <c r="D81" s="1"/>
      <c r="E81" s="1"/>
      <c r="F81" s="1"/>
      <c r="G81" s="4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21"/>
      <c r="AE81" s="2"/>
    </row>
    <row r="82" spans="1:36" ht="6.75" customHeight="1" thickBot="1" x14ac:dyDescent="0.3">
      <c r="A82" s="6"/>
      <c r="B82" s="2"/>
      <c r="C82" s="138"/>
      <c r="D82" s="1"/>
      <c r="E82" s="1"/>
      <c r="F82" s="1"/>
      <c r="G82" s="4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21"/>
      <c r="AE82" s="2"/>
    </row>
    <row r="83" spans="1:36" ht="30" customHeight="1" thickBot="1" x14ac:dyDescent="0.3">
      <c r="A83" s="6"/>
      <c r="B83" s="538" t="s">
        <v>74</v>
      </c>
      <c r="C83" s="539"/>
      <c r="D83" s="613" t="s">
        <v>48</v>
      </c>
      <c r="E83" s="614"/>
      <c r="F83" s="614"/>
      <c r="G83" s="614"/>
      <c r="H83" s="614"/>
      <c r="I83" s="615"/>
      <c r="J83" s="115" t="s">
        <v>38</v>
      </c>
      <c r="K83" s="608" t="s">
        <v>39</v>
      </c>
      <c r="L83" s="609"/>
      <c r="M83" s="162" t="s">
        <v>60</v>
      </c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126"/>
    </row>
    <row r="84" spans="1:36" ht="30" customHeight="1" x14ac:dyDescent="0.25">
      <c r="A84" s="6"/>
      <c r="B84" s="540"/>
      <c r="C84" s="527"/>
      <c r="D84" s="547" t="s">
        <v>109</v>
      </c>
      <c r="E84" s="548"/>
      <c r="F84" s="553" t="s">
        <v>41</v>
      </c>
      <c r="G84" s="554"/>
      <c r="H84" s="554"/>
      <c r="I84" s="554"/>
      <c r="J84" s="116">
        <v>19</v>
      </c>
      <c r="K84" s="557">
        <v>283</v>
      </c>
      <c r="L84" s="558"/>
      <c r="M84" s="583">
        <f>K84/M104</f>
        <v>0.36516129032258066</v>
      </c>
      <c r="N84" s="626" t="s">
        <v>31</v>
      </c>
      <c r="O84" s="627"/>
      <c r="P84" s="627"/>
      <c r="Q84" s="627"/>
      <c r="R84" s="627"/>
      <c r="S84" s="627"/>
      <c r="T84" s="627"/>
      <c r="U84" s="142">
        <v>3</v>
      </c>
      <c r="V84" s="571"/>
      <c r="W84" s="623"/>
      <c r="X84" s="601" t="s">
        <v>27</v>
      </c>
      <c r="Y84" s="602"/>
      <c r="Z84" s="602"/>
      <c r="AA84" s="602"/>
      <c r="AB84" s="603"/>
      <c r="AC84" s="142"/>
      <c r="AD84" s="571"/>
      <c r="AE84" s="572"/>
    </row>
    <row r="85" spans="1:36" ht="30" customHeight="1" thickBot="1" x14ac:dyDescent="0.3">
      <c r="A85" s="6"/>
      <c r="B85" s="541"/>
      <c r="C85" s="528"/>
      <c r="D85" s="598"/>
      <c r="E85" s="599"/>
      <c r="F85" s="563" t="s">
        <v>40</v>
      </c>
      <c r="G85" s="564"/>
      <c r="H85" s="564"/>
      <c r="I85" s="564"/>
      <c r="J85" s="118"/>
      <c r="K85" s="565"/>
      <c r="L85" s="566"/>
      <c r="M85" s="584"/>
      <c r="N85" s="511" t="s">
        <v>92</v>
      </c>
      <c r="O85" s="512"/>
      <c r="P85" s="512"/>
      <c r="Q85" s="512"/>
      <c r="R85" s="512"/>
      <c r="S85" s="512"/>
      <c r="T85" s="512"/>
      <c r="U85" s="174">
        <v>2</v>
      </c>
      <c r="V85" s="571"/>
      <c r="W85" s="623"/>
      <c r="X85" s="529" t="s">
        <v>34</v>
      </c>
      <c r="Y85" s="530"/>
      <c r="Z85" s="530"/>
      <c r="AA85" s="530"/>
      <c r="AB85" s="531"/>
      <c r="AC85" s="141"/>
      <c r="AD85" s="571"/>
      <c r="AE85" s="572"/>
    </row>
    <row r="86" spans="1:36" ht="30" customHeight="1" thickBot="1" x14ac:dyDescent="0.3">
      <c r="A86" s="6"/>
      <c r="B86" s="2"/>
      <c r="C86" s="138"/>
      <c r="D86" s="2"/>
      <c r="E86" s="2"/>
      <c r="F86" s="2"/>
      <c r="G86" s="6"/>
      <c r="H86" s="2"/>
      <c r="I86" s="2"/>
      <c r="J86" s="173"/>
      <c r="K86" s="585"/>
      <c r="L86" s="586"/>
      <c r="M86" s="170"/>
      <c r="N86" s="513" t="s">
        <v>95</v>
      </c>
      <c r="O86" s="514"/>
      <c r="P86" s="514"/>
      <c r="Q86" s="514"/>
      <c r="R86" s="514"/>
      <c r="S86" s="514"/>
      <c r="T86" s="514"/>
      <c r="U86" s="239">
        <v>3</v>
      </c>
      <c r="V86" s="571"/>
      <c r="W86" s="623"/>
      <c r="X86" s="529" t="s">
        <v>28</v>
      </c>
      <c r="Y86" s="604"/>
      <c r="Z86" s="604"/>
      <c r="AA86" s="604"/>
      <c r="AB86" s="605"/>
      <c r="AC86" s="141"/>
      <c r="AD86" s="571"/>
      <c r="AE86" s="572"/>
    </row>
    <row r="87" spans="1:36" ht="30" customHeight="1" thickBot="1" x14ac:dyDescent="0.3">
      <c r="A87" s="6"/>
      <c r="B87" s="163">
        <v>44</v>
      </c>
      <c r="C87" s="223">
        <f>B87/B102</f>
        <v>0.13750000000000001</v>
      </c>
      <c r="D87" s="555" t="s">
        <v>86</v>
      </c>
      <c r="E87" s="556"/>
      <c r="F87" s="587" t="s">
        <v>41</v>
      </c>
      <c r="G87" s="588"/>
      <c r="H87" s="588"/>
      <c r="I87" s="588"/>
      <c r="J87" s="140">
        <v>5</v>
      </c>
      <c r="K87" s="660">
        <v>90</v>
      </c>
      <c r="L87" s="661"/>
      <c r="M87" s="170">
        <f>K87/M104</f>
        <v>0.11612903225806452</v>
      </c>
      <c r="N87" s="513" t="s">
        <v>47</v>
      </c>
      <c r="O87" s="514"/>
      <c r="P87" s="514"/>
      <c r="Q87" s="514"/>
      <c r="R87" s="514"/>
      <c r="S87" s="514"/>
      <c r="T87" s="514"/>
      <c r="U87" s="189">
        <v>3</v>
      </c>
      <c r="V87" s="571"/>
      <c r="W87" s="623"/>
      <c r="X87" s="529" t="s">
        <v>119</v>
      </c>
      <c r="Y87" s="604"/>
      <c r="Z87" s="604"/>
      <c r="AA87" s="604"/>
      <c r="AB87" s="605"/>
      <c r="AC87" s="141"/>
      <c r="AD87" s="571"/>
      <c r="AE87" s="572"/>
    </row>
    <row r="88" spans="1:36" ht="30" customHeight="1" thickBot="1" x14ac:dyDescent="0.3">
      <c r="A88" s="6"/>
      <c r="B88" s="138"/>
      <c r="C88" s="138"/>
      <c r="D88" s="2"/>
      <c r="E88" s="2"/>
      <c r="F88" s="2"/>
      <c r="G88" s="6"/>
      <c r="H88" s="2"/>
      <c r="I88" s="2"/>
      <c r="J88" s="2"/>
      <c r="K88" s="129"/>
      <c r="L88" s="130"/>
      <c r="M88" s="170"/>
      <c r="N88" s="624" t="s">
        <v>23</v>
      </c>
      <c r="O88" s="625"/>
      <c r="P88" s="625"/>
      <c r="Q88" s="625"/>
      <c r="R88" s="625"/>
      <c r="S88" s="625"/>
      <c r="T88" s="625"/>
      <c r="U88" s="141"/>
      <c r="V88" s="571"/>
      <c r="W88" s="623"/>
      <c r="X88" s="503" t="s">
        <v>45</v>
      </c>
      <c r="Y88" s="504"/>
      <c r="Z88" s="504"/>
      <c r="AA88" s="504"/>
      <c r="AB88" s="505"/>
      <c r="AC88" s="141">
        <v>2</v>
      </c>
      <c r="AD88" s="567"/>
      <c r="AE88" s="568"/>
      <c r="AG88" s="175"/>
      <c r="AH88" s="171"/>
      <c r="AI88" s="171"/>
      <c r="AJ88" s="171"/>
    </row>
    <row r="89" spans="1:36" ht="30" customHeight="1" x14ac:dyDescent="0.25">
      <c r="A89" s="6"/>
      <c r="B89" s="540">
        <v>88</v>
      </c>
      <c r="C89" s="573">
        <f>B89/B102</f>
        <v>0.27500000000000002</v>
      </c>
      <c r="D89" s="547" t="s">
        <v>88</v>
      </c>
      <c r="E89" s="548"/>
      <c r="F89" s="553" t="s">
        <v>41</v>
      </c>
      <c r="G89" s="554"/>
      <c r="H89" s="554"/>
      <c r="I89" s="554"/>
      <c r="J89" s="116"/>
      <c r="K89" s="557">
        <v>163</v>
      </c>
      <c r="L89" s="558"/>
      <c r="M89" s="583">
        <f>K89/M104</f>
        <v>0.21032258064516129</v>
      </c>
      <c r="N89" s="624" t="s">
        <v>59</v>
      </c>
      <c r="O89" s="625"/>
      <c r="P89" s="625"/>
      <c r="Q89" s="625"/>
      <c r="R89" s="625"/>
      <c r="S89" s="625"/>
      <c r="T89" s="625"/>
      <c r="U89" s="141"/>
      <c r="V89" s="567"/>
      <c r="W89" s="630"/>
      <c r="X89" s="529" t="s">
        <v>29</v>
      </c>
      <c r="Y89" s="530"/>
      <c r="Z89" s="530"/>
      <c r="AA89" s="530"/>
      <c r="AB89" s="531"/>
      <c r="AC89" s="141"/>
      <c r="AD89" s="571"/>
      <c r="AE89" s="572"/>
      <c r="AG89" s="175"/>
      <c r="AH89" s="171"/>
      <c r="AI89" s="171"/>
      <c r="AJ89" s="171"/>
    </row>
    <row r="90" spans="1:36" ht="30" customHeight="1" x14ac:dyDescent="0.25">
      <c r="A90" s="6"/>
      <c r="B90" s="541"/>
      <c r="C90" s="574"/>
      <c r="D90" s="549"/>
      <c r="E90" s="550"/>
      <c r="F90" s="559" t="s">
        <v>40</v>
      </c>
      <c r="G90" s="560"/>
      <c r="H90" s="560"/>
      <c r="I90" s="560"/>
      <c r="J90" s="117"/>
      <c r="K90" s="561"/>
      <c r="L90" s="562"/>
      <c r="M90" s="584"/>
      <c r="N90" s="513" t="s">
        <v>24</v>
      </c>
      <c r="O90" s="628"/>
      <c r="P90" s="628"/>
      <c r="Q90" s="628"/>
      <c r="R90" s="628"/>
      <c r="S90" s="628"/>
      <c r="T90" s="628"/>
      <c r="U90" s="364">
        <v>3</v>
      </c>
      <c r="V90" s="571"/>
      <c r="W90" s="623"/>
      <c r="X90" s="503" t="s">
        <v>118</v>
      </c>
      <c r="Y90" s="504"/>
      <c r="Z90" s="504"/>
      <c r="AA90" s="504"/>
      <c r="AB90" s="505"/>
      <c r="AC90" s="141"/>
      <c r="AD90" s="571"/>
      <c r="AE90" s="572"/>
      <c r="AG90" s="175"/>
      <c r="AH90" s="171"/>
      <c r="AI90" s="171"/>
      <c r="AJ90" s="171"/>
    </row>
    <row r="91" spans="1:36" ht="30" customHeight="1" thickBot="1" x14ac:dyDescent="0.3">
      <c r="A91" s="6"/>
      <c r="B91" s="541"/>
      <c r="C91" s="574"/>
      <c r="D91" s="551"/>
      <c r="E91" s="552"/>
      <c r="F91" s="563" t="s">
        <v>42</v>
      </c>
      <c r="G91" s="564"/>
      <c r="H91" s="564"/>
      <c r="I91" s="564"/>
      <c r="J91" s="118"/>
      <c r="K91" s="600">
        <v>76</v>
      </c>
      <c r="L91" s="566"/>
      <c r="M91" s="584"/>
      <c r="N91" s="624" t="s">
        <v>116</v>
      </c>
      <c r="O91" s="629"/>
      <c r="P91" s="629"/>
      <c r="Q91" s="629"/>
      <c r="R91" s="629"/>
      <c r="S91" s="629"/>
      <c r="T91" s="629"/>
      <c r="U91" s="189"/>
      <c r="V91" s="571"/>
      <c r="W91" s="623"/>
      <c r="X91" s="529" t="s">
        <v>30</v>
      </c>
      <c r="Y91" s="530"/>
      <c r="Z91" s="530"/>
      <c r="AA91" s="530"/>
      <c r="AB91" s="531"/>
      <c r="AC91" s="141"/>
      <c r="AD91" s="569"/>
      <c r="AE91" s="570"/>
      <c r="AG91" s="175"/>
      <c r="AH91" s="171"/>
      <c r="AI91" s="171"/>
      <c r="AJ91" s="171"/>
    </row>
    <row r="92" spans="1:36" ht="30" customHeight="1" x14ac:dyDescent="0.25">
      <c r="A92" s="6"/>
      <c r="B92" s="265"/>
      <c r="C92" s="223"/>
      <c r="D92" s="1"/>
      <c r="E92" s="1"/>
      <c r="F92" s="165"/>
      <c r="G92" s="166"/>
      <c r="H92" s="166"/>
      <c r="I92" s="166"/>
      <c r="J92" s="167"/>
      <c r="K92" s="43"/>
      <c r="L92" s="168"/>
      <c r="M92" s="269"/>
      <c r="N92" s="529"/>
      <c r="O92" s="633"/>
      <c r="P92" s="633"/>
      <c r="Q92" s="633"/>
      <c r="R92" s="633"/>
      <c r="S92" s="633"/>
      <c r="T92" s="634"/>
      <c r="U92" s="189"/>
      <c r="V92" s="268"/>
      <c r="W92" s="270"/>
      <c r="X92" s="503" t="s">
        <v>90</v>
      </c>
      <c r="Y92" s="631"/>
      <c r="Z92" s="631"/>
      <c r="AA92" s="631"/>
      <c r="AB92" s="632"/>
      <c r="AC92" s="141">
        <v>2</v>
      </c>
      <c r="AD92" s="266"/>
      <c r="AE92" s="267"/>
      <c r="AG92" s="175"/>
      <c r="AH92" s="171"/>
      <c r="AI92" s="171"/>
      <c r="AJ92" s="171"/>
    </row>
    <row r="93" spans="1:36" ht="30" customHeight="1" thickBot="1" x14ac:dyDescent="0.3">
      <c r="A93" s="6"/>
      <c r="B93" s="138"/>
      <c r="C93" s="138"/>
      <c r="D93" s="2"/>
      <c r="E93" s="2"/>
      <c r="F93" s="2"/>
      <c r="G93" s="6"/>
      <c r="H93" s="2"/>
      <c r="I93" s="2"/>
      <c r="J93" s="2"/>
      <c r="K93" s="129"/>
      <c r="L93" s="130"/>
      <c r="M93" s="170"/>
      <c r="N93" s="513"/>
      <c r="O93" s="628"/>
      <c r="P93" s="628"/>
      <c r="Q93" s="628"/>
      <c r="R93" s="628"/>
      <c r="S93" s="628"/>
      <c r="T93" s="628"/>
      <c r="U93" s="141"/>
      <c r="V93" s="571"/>
      <c r="W93" s="623"/>
      <c r="X93" s="503" t="s">
        <v>58</v>
      </c>
      <c r="Y93" s="631"/>
      <c r="Z93" s="631"/>
      <c r="AA93" s="631"/>
      <c r="AB93" s="632"/>
      <c r="AC93" s="141">
        <v>2</v>
      </c>
      <c r="AD93" s="571"/>
      <c r="AE93" s="572"/>
      <c r="AG93" s="175"/>
      <c r="AH93" s="171"/>
      <c r="AI93" s="171"/>
      <c r="AJ93" s="171"/>
    </row>
    <row r="94" spans="1:36" ht="30" customHeight="1" x14ac:dyDescent="0.25">
      <c r="A94" s="6"/>
      <c r="B94" s="540">
        <v>70</v>
      </c>
      <c r="C94" s="573">
        <f>B94/B102</f>
        <v>0.21875</v>
      </c>
      <c r="D94" s="547" t="s">
        <v>87</v>
      </c>
      <c r="E94" s="548"/>
      <c r="F94" s="553" t="s">
        <v>41</v>
      </c>
      <c r="G94" s="554"/>
      <c r="H94" s="554"/>
      <c r="I94" s="554"/>
      <c r="J94" s="116"/>
      <c r="K94" s="557">
        <v>139</v>
      </c>
      <c r="L94" s="558"/>
      <c r="M94" s="583">
        <f>K94/M104</f>
        <v>0.17935483870967742</v>
      </c>
      <c r="N94" s="513"/>
      <c r="O94" s="514"/>
      <c r="P94" s="514"/>
      <c r="Q94" s="514"/>
      <c r="R94" s="514"/>
      <c r="S94" s="514"/>
      <c r="T94" s="514"/>
      <c r="U94" s="141"/>
      <c r="V94" s="571"/>
      <c r="W94" s="623"/>
      <c r="X94" s="529" t="s">
        <v>120</v>
      </c>
      <c r="Y94" s="633"/>
      <c r="Z94" s="633"/>
      <c r="AA94" s="633"/>
      <c r="AB94" s="634"/>
      <c r="AC94" s="141"/>
      <c r="AD94" s="571"/>
      <c r="AE94" s="572"/>
    </row>
    <row r="95" spans="1:36" ht="30" customHeight="1" x14ac:dyDescent="0.25">
      <c r="A95" s="6"/>
      <c r="B95" s="541"/>
      <c r="C95" s="574"/>
      <c r="D95" s="549"/>
      <c r="E95" s="550"/>
      <c r="F95" s="559" t="s">
        <v>40</v>
      </c>
      <c r="G95" s="560"/>
      <c r="H95" s="560"/>
      <c r="I95" s="560"/>
      <c r="J95" s="117"/>
      <c r="K95" s="561"/>
      <c r="L95" s="562"/>
      <c r="M95" s="584"/>
      <c r="N95" s="513"/>
      <c r="O95" s="514"/>
      <c r="P95" s="514"/>
      <c r="Q95" s="514"/>
      <c r="R95" s="514"/>
      <c r="S95" s="514"/>
      <c r="T95" s="514"/>
      <c r="U95" s="141"/>
      <c r="V95" s="571"/>
      <c r="W95" s="623"/>
      <c r="X95" s="503" t="s">
        <v>57</v>
      </c>
      <c r="Y95" s="631"/>
      <c r="Z95" s="631"/>
      <c r="AA95" s="631"/>
      <c r="AB95" s="632"/>
      <c r="AC95" s="141">
        <v>2</v>
      </c>
      <c r="AD95" s="148"/>
      <c r="AE95" s="147"/>
    </row>
    <row r="96" spans="1:36" ht="30" customHeight="1" thickBot="1" x14ac:dyDescent="0.3">
      <c r="A96" s="6"/>
      <c r="B96" s="541"/>
      <c r="C96" s="574"/>
      <c r="D96" s="598"/>
      <c r="E96" s="599"/>
      <c r="F96" s="563"/>
      <c r="G96" s="564"/>
      <c r="H96" s="564"/>
      <c r="I96" s="564"/>
      <c r="J96" s="118"/>
      <c r="K96" s="565"/>
      <c r="L96" s="566"/>
      <c r="M96" s="584"/>
      <c r="N96" s="643" t="s">
        <v>93</v>
      </c>
      <c r="O96" s="644"/>
      <c r="P96" s="644"/>
      <c r="Q96" s="644"/>
      <c r="R96" s="644"/>
      <c r="S96" s="644"/>
      <c r="T96" s="644"/>
      <c r="U96" s="119"/>
      <c r="V96" s="571"/>
      <c r="W96" s="623"/>
      <c r="X96" s="503" t="s">
        <v>73</v>
      </c>
      <c r="Y96" s="631"/>
      <c r="Z96" s="631"/>
      <c r="AA96" s="631"/>
      <c r="AB96" s="632"/>
      <c r="AC96" s="143">
        <v>2</v>
      </c>
      <c r="AD96" s="571"/>
      <c r="AE96" s="572"/>
    </row>
    <row r="97" spans="1:31" ht="30" customHeight="1" thickBot="1" x14ac:dyDescent="0.3">
      <c r="A97" s="6"/>
      <c r="B97" s="138"/>
      <c r="C97" s="138"/>
      <c r="D97" s="2"/>
      <c r="E97" s="2"/>
      <c r="F97" s="2"/>
      <c r="G97" s="6"/>
      <c r="H97" s="2"/>
      <c r="I97" s="2"/>
      <c r="J97" s="2"/>
      <c r="K97" s="129"/>
      <c r="L97" s="130"/>
      <c r="M97" s="170"/>
      <c r="N97" s="606"/>
      <c r="O97" s="607"/>
      <c r="P97" s="607"/>
      <c r="Q97" s="607"/>
      <c r="R97" s="607"/>
      <c r="S97" s="607"/>
      <c r="T97" s="607"/>
      <c r="U97" s="114">
        <f>SUM(U84:U96)</f>
        <v>14</v>
      </c>
      <c r="V97" s="597"/>
      <c r="W97" s="579"/>
      <c r="X97" s="640"/>
      <c r="Y97" s="641"/>
      <c r="Z97" s="641"/>
      <c r="AA97" s="641"/>
      <c r="AB97" s="642"/>
      <c r="AC97" s="114">
        <f>SUM(AC84:AC96)</f>
        <v>10</v>
      </c>
      <c r="AD97" s="126"/>
    </row>
    <row r="98" spans="1:31" ht="30" customHeight="1" x14ac:dyDescent="0.25">
      <c r="A98" s="6"/>
      <c r="B98" s="610">
        <v>118</v>
      </c>
      <c r="C98" s="619">
        <f>B98/B102</f>
        <v>0.36875000000000002</v>
      </c>
      <c r="D98" s="547" t="s">
        <v>89</v>
      </c>
      <c r="E98" s="616"/>
      <c r="F98" s="595" t="s">
        <v>41</v>
      </c>
      <c r="G98" s="554"/>
      <c r="H98" s="554"/>
      <c r="I98" s="554"/>
      <c r="J98" s="116"/>
      <c r="K98" s="557">
        <v>100</v>
      </c>
      <c r="L98" s="558"/>
      <c r="M98" s="576">
        <f>K98/M104</f>
        <v>0.12903225806451613</v>
      </c>
      <c r="N98" s="671"/>
      <c r="O98" s="672"/>
      <c r="P98" s="672"/>
      <c r="Q98" s="672"/>
      <c r="R98" s="672"/>
      <c r="S98" s="672"/>
      <c r="T98" s="67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30" customHeight="1" x14ac:dyDescent="0.25">
      <c r="A99" s="6"/>
      <c r="B99" s="610"/>
      <c r="C99" s="619"/>
      <c r="D99" s="549"/>
      <c r="E99" s="617"/>
      <c r="F99" s="596" t="s">
        <v>40</v>
      </c>
      <c r="G99" s="560"/>
      <c r="H99" s="560"/>
      <c r="I99" s="560"/>
      <c r="J99" s="232"/>
      <c r="K99" s="561"/>
      <c r="L99" s="562"/>
      <c r="M99" s="576"/>
      <c r="N99" s="230"/>
      <c r="O99" s="231"/>
      <c r="P99" s="235"/>
      <c r="Q99" s="235"/>
      <c r="R99" s="235"/>
      <c r="S99" s="235"/>
      <c r="T99" s="235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30" customHeight="1" thickBot="1" x14ac:dyDescent="0.3">
      <c r="A100" s="6"/>
      <c r="B100" s="611"/>
      <c r="C100" s="620"/>
      <c r="D100" s="549"/>
      <c r="E100" s="617"/>
      <c r="F100" s="596" t="s">
        <v>85</v>
      </c>
      <c r="G100" s="560"/>
      <c r="H100" s="560"/>
      <c r="I100" s="560"/>
      <c r="J100" s="117"/>
      <c r="K100" s="561"/>
      <c r="L100" s="562"/>
      <c r="M100" s="577"/>
      <c r="N100" s="104"/>
      <c r="O100" s="104"/>
      <c r="P100" s="128"/>
      <c r="Q100" s="104"/>
      <c r="R100" s="66"/>
      <c r="S100" s="66"/>
      <c r="T100" s="66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30" customHeight="1" thickBot="1" x14ac:dyDescent="0.3">
      <c r="A101" s="6"/>
      <c r="B101" s="611"/>
      <c r="C101" s="620"/>
      <c r="D101" s="551"/>
      <c r="E101" s="618"/>
      <c r="F101" s="612" t="s">
        <v>43</v>
      </c>
      <c r="G101" s="564"/>
      <c r="H101" s="564"/>
      <c r="I101" s="564"/>
      <c r="J101" s="118"/>
      <c r="K101" s="565">
        <v>18</v>
      </c>
      <c r="L101" s="566"/>
      <c r="M101" s="577"/>
      <c r="N101" s="589" t="s">
        <v>49</v>
      </c>
      <c r="O101" s="590"/>
      <c r="P101" s="590"/>
      <c r="Q101" s="590"/>
      <c r="R101" s="590"/>
      <c r="S101" s="590"/>
      <c r="T101" s="590"/>
      <c r="U101" s="590"/>
      <c r="V101" s="590"/>
      <c r="W101" s="590"/>
      <c r="X101" s="590"/>
      <c r="Y101" s="591"/>
      <c r="Z101" s="635">
        <f>U97+AC97</f>
        <v>24</v>
      </c>
      <c r="AA101" s="636"/>
      <c r="AB101" s="637"/>
      <c r="AC101" s="2"/>
      <c r="AD101" s="2"/>
      <c r="AE101" s="2"/>
    </row>
    <row r="102" spans="1:31" ht="30" customHeight="1" thickBot="1" x14ac:dyDescent="0.3">
      <c r="A102" s="6"/>
      <c r="B102" s="224">
        <f>B84+B87+B89+B94+B98</f>
        <v>320</v>
      </c>
      <c r="C102" s="225">
        <f>C84+C87+C89+C94+C98</f>
        <v>1</v>
      </c>
      <c r="D102" s="2"/>
      <c r="E102" s="2"/>
      <c r="F102" s="165"/>
      <c r="G102" s="166"/>
      <c r="H102" s="166"/>
      <c r="I102" s="166"/>
      <c r="J102" s="167"/>
      <c r="K102" s="43"/>
      <c r="L102" s="168"/>
      <c r="M102" s="164">
        <f>M84+M87+M89+M94+M98</f>
        <v>1</v>
      </c>
      <c r="N102" s="592"/>
      <c r="O102" s="593"/>
      <c r="P102" s="593"/>
      <c r="Q102" s="593"/>
      <c r="R102" s="593"/>
      <c r="S102" s="593"/>
      <c r="T102" s="593"/>
      <c r="U102" s="593"/>
      <c r="V102" s="593"/>
      <c r="W102" s="593"/>
      <c r="X102" s="593"/>
      <c r="Y102" s="594"/>
      <c r="Z102" s="638"/>
      <c r="AA102" s="622"/>
      <c r="AB102" s="639"/>
      <c r="AC102" s="2"/>
      <c r="AD102" s="2"/>
      <c r="AE102" s="2"/>
    </row>
    <row r="103" spans="1:31" ht="30" customHeight="1" thickBot="1" x14ac:dyDescent="0.3">
      <c r="A103" s="6"/>
      <c r="B103" s="2"/>
      <c r="C103" s="134"/>
      <c r="D103" s="2"/>
      <c r="E103" s="2"/>
      <c r="F103" s="2"/>
      <c r="G103" s="6"/>
      <c r="H103" s="2"/>
      <c r="I103" s="2"/>
      <c r="J103" s="2"/>
      <c r="L103" s="2"/>
      <c r="M103" s="2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21"/>
      <c r="AA103" s="121"/>
      <c r="AB103" s="121"/>
      <c r="AC103" s="2"/>
      <c r="AD103" s="2"/>
      <c r="AE103" s="2"/>
    </row>
    <row r="104" spans="1:31" ht="42" customHeight="1" thickBot="1" x14ac:dyDescent="0.3">
      <c r="A104" s="6"/>
      <c r="B104" s="2"/>
      <c r="C104" s="134"/>
      <c r="D104" s="2"/>
      <c r="E104" s="542" t="s">
        <v>51</v>
      </c>
      <c r="F104" s="543"/>
      <c r="G104" s="543"/>
      <c r="H104" s="543"/>
      <c r="I104" s="543"/>
      <c r="J104" s="543"/>
      <c r="K104" s="543"/>
      <c r="L104" s="543"/>
      <c r="M104" s="132">
        <f>K84+K87+K89+K94+K98</f>
        <v>775</v>
      </c>
      <c r="N104" s="2"/>
      <c r="O104" s="2"/>
      <c r="P104" s="2"/>
      <c r="Q104" s="664" t="s">
        <v>96</v>
      </c>
      <c r="R104" s="665"/>
      <c r="S104" s="666" t="s">
        <v>101</v>
      </c>
      <c r="T104" s="667"/>
      <c r="U104" s="667"/>
      <c r="V104" s="665"/>
      <c r="W104" s="666" t="s">
        <v>102</v>
      </c>
      <c r="X104" s="667"/>
      <c r="Y104" s="667"/>
      <c r="Z104" s="668"/>
      <c r="AA104" s="2"/>
      <c r="AB104" s="2"/>
      <c r="AC104" s="2"/>
      <c r="AD104" s="2"/>
      <c r="AE104" s="2"/>
    </row>
    <row r="105" spans="1:31" ht="42" customHeight="1" x14ac:dyDescent="0.25">
      <c r="A105" s="6"/>
      <c r="B105" s="2"/>
      <c r="C105" s="134"/>
      <c r="D105" s="2"/>
      <c r="E105" s="542" t="s">
        <v>52</v>
      </c>
      <c r="F105" s="543"/>
      <c r="G105" s="543"/>
      <c r="H105" s="543"/>
      <c r="I105" s="543"/>
      <c r="J105" s="543"/>
      <c r="K105" s="543"/>
      <c r="L105" s="543"/>
      <c r="M105" s="132">
        <f>K85+K90+K95+K99</f>
        <v>0</v>
      </c>
      <c r="N105" s="2"/>
      <c r="O105" s="2"/>
      <c r="P105" s="2"/>
      <c r="Q105" s="669" t="s">
        <v>97</v>
      </c>
      <c r="R105" s="670"/>
      <c r="S105" s="243"/>
      <c r="T105" s="243"/>
      <c r="U105" s="244">
        <v>23</v>
      </c>
      <c r="V105" s="243"/>
      <c r="W105" s="245"/>
      <c r="X105" s="243"/>
      <c r="Y105" s="244">
        <v>18</v>
      </c>
      <c r="Z105" s="246"/>
      <c r="AA105" s="2"/>
      <c r="AB105" s="252" t="s">
        <v>103</v>
      </c>
      <c r="AD105" s="2"/>
      <c r="AE105" s="2"/>
    </row>
    <row r="106" spans="1:31" ht="42" customHeight="1" x14ac:dyDescent="0.25">
      <c r="A106" s="6"/>
      <c r="B106" s="2"/>
      <c r="C106" s="134"/>
      <c r="D106" s="2"/>
      <c r="E106" s="542" t="s">
        <v>94</v>
      </c>
      <c r="F106" s="543"/>
      <c r="G106" s="543"/>
      <c r="H106" s="543"/>
      <c r="I106" s="543"/>
      <c r="J106" s="543"/>
      <c r="K106" s="543"/>
      <c r="L106" s="543"/>
      <c r="M106" s="132">
        <f>K100</f>
        <v>0</v>
      </c>
      <c r="N106" s="2"/>
      <c r="O106" s="2"/>
      <c r="P106" s="2"/>
      <c r="Q106" s="656" t="s">
        <v>98</v>
      </c>
      <c r="R106" s="657"/>
      <c r="S106" s="241"/>
      <c r="T106" s="241"/>
      <c r="U106" s="242">
        <v>12</v>
      </c>
      <c r="V106" s="241"/>
      <c r="W106" s="240"/>
      <c r="X106" s="241"/>
      <c r="Y106" s="242">
        <v>22</v>
      </c>
      <c r="Z106" s="247"/>
      <c r="AA106" s="2"/>
      <c r="AB106" s="252" t="s">
        <v>104</v>
      </c>
      <c r="AC106" s="4"/>
      <c r="AD106" s="2"/>
      <c r="AE106" s="2"/>
    </row>
    <row r="107" spans="1:31" ht="42" customHeight="1" x14ac:dyDescent="0.25">
      <c r="A107" s="6"/>
      <c r="B107" s="2"/>
      <c r="C107" s="134"/>
      <c r="D107" s="2"/>
      <c r="E107" s="542" t="s">
        <v>53</v>
      </c>
      <c r="F107" s="543"/>
      <c r="G107" s="543"/>
      <c r="H107" s="543"/>
      <c r="I107" s="543"/>
      <c r="J107" s="543"/>
      <c r="K107" s="543"/>
      <c r="L107" s="543"/>
      <c r="M107" s="172">
        <f>K91</f>
        <v>76</v>
      </c>
      <c r="N107" s="2"/>
      <c r="O107" s="2"/>
      <c r="P107" s="2"/>
      <c r="Q107" s="656" t="s">
        <v>99</v>
      </c>
      <c r="R107" s="657"/>
      <c r="S107" s="241"/>
      <c r="T107" s="241"/>
      <c r="U107" s="242">
        <v>1</v>
      </c>
      <c r="V107" s="241"/>
      <c r="W107" s="240"/>
      <c r="X107" s="241"/>
      <c r="Y107" s="242">
        <v>1</v>
      </c>
      <c r="Z107" s="247"/>
      <c r="AA107" s="2"/>
      <c r="AB107" s="252" t="s">
        <v>105</v>
      </c>
      <c r="AC107" s="4"/>
      <c r="AD107" s="2"/>
      <c r="AE107" s="2"/>
    </row>
    <row r="108" spans="1:31" ht="42" customHeight="1" thickBot="1" x14ac:dyDescent="0.3">
      <c r="A108" s="6"/>
      <c r="B108" s="2"/>
      <c r="C108" s="134"/>
      <c r="D108" s="2"/>
      <c r="E108" s="542" t="s">
        <v>54</v>
      </c>
      <c r="F108" s="543"/>
      <c r="G108" s="543"/>
      <c r="H108" s="543"/>
      <c r="I108" s="543"/>
      <c r="J108" s="543"/>
      <c r="K108" s="543"/>
      <c r="L108" s="543"/>
      <c r="M108" s="172">
        <f>K101</f>
        <v>18</v>
      </c>
      <c r="N108" s="2"/>
      <c r="O108" s="2"/>
      <c r="P108" s="2"/>
      <c r="Q108" s="658" t="s">
        <v>100</v>
      </c>
      <c r="R108" s="659"/>
      <c r="S108" s="248"/>
      <c r="T108" s="248"/>
      <c r="U108" s="249">
        <v>3</v>
      </c>
      <c r="V108" s="248"/>
      <c r="W108" s="250"/>
      <c r="X108" s="248"/>
      <c r="Y108" s="249">
        <v>1</v>
      </c>
      <c r="Z108" s="251"/>
      <c r="AA108" s="2"/>
      <c r="AB108" s="252" t="s">
        <v>106</v>
      </c>
      <c r="AC108" s="4"/>
      <c r="AD108" s="2"/>
      <c r="AE108" s="2"/>
    </row>
    <row r="109" spans="1:31" ht="65.25" customHeight="1" x14ac:dyDescent="0.25">
      <c r="A109" s="6"/>
      <c r="B109" s="2"/>
      <c r="C109" s="134"/>
      <c r="D109" s="578" t="s">
        <v>50</v>
      </c>
      <c r="E109" s="579"/>
      <c r="F109" s="579"/>
      <c r="G109" s="579"/>
      <c r="H109" s="579"/>
      <c r="I109" s="579"/>
      <c r="J109" s="579"/>
      <c r="K109" s="579"/>
      <c r="L109" s="579"/>
      <c r="M109" s="131">
        <f>M104+M105+M106+M107+M108</f>
        <v>869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42" customHeight="1" x14ac:dyDescent="0.25"/>
    <row r="111" spans="1:31" ht="30" customHeight="1" x14ac:dyDescent="0.25"/>
    <row r="112" spans="1:31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226" spans="25:25" x14ac:dyDescent="0.25">
      <c r="Y226" s="3" t="s">
        <v>56</v>
      </c>
    </row>
  </sheetData>
  <customSheetViews>
    <customSheetView guid="{6961F61B-568A-47AE-A59A-66C974BCBE87}" scale="90" showPageBreaks="1" fitToPage="1" printArea="1" view="pageBreakPreview">
      <pane xSplit="1" ySplit="3" topLeftCell="B13" activePane="bottomRight" state="frozen"/>
      <selection pane="bottomRight" activeCell="T22" sqref="T22"/>
      <rowBreaks count="2" manualBreakCount="2">
        <brk id="35" max="29" man="1"/>
        <brk id="66" max="29" man="1"/>
      </rowBreaks>
      <pageMargins left="0.19685039370078741" right="0.19685039370078741" top="0.19685039370078741" bottom="0.19685039370078741" header="0" footer="0"/>
      <printOptions horizontalCentered="1" verticalCentered="1"/>
      <pageSetup paperSize="9" scale="52" fitToHeight="0" orientation="landscape" r:id="rId1"/>
    </customSheetView>
  </customSheetViews>
  <mergeCells count="154">
    <mergeCell ref="C11:C13"/>
    <mergeCell ref="C25:C27"/>
    <mergeCell ref="C39:C41"/>
    <mergeCell ref="C67:C69"/>
    <mergeCell ref="C53:C55"/>
    <mergeCell ref="Q107:R107"/>
    <mergeCell ref="Q108:R108"/>
    <mergeCell ref="AD96:AE96"/>
    <mergeCell ref="K87:L87"/>
    <mergeCell ref="V95:W95"/>
    <mergeCell ref="N93:T93"/>
    <mergeCell ref="N94:T94"/>
    <mergeCell ref="M94:M96"/>
    <mergeCell ref="Y75:Z75"/>
    <mergeCell ref="AB75:AC75"/>
    <mergeCell ref="Y77:Z78"/>
    <mergeCell ref="Z80:AB80"/>
    <mergeCell ref="Q104:R104"/>
    <mergeCell ref="S104:V104"/>
    <mergeCell ref="W104:Z104"/>
    <mergeCell ref="Q105:R105"/>
    <mergeCell ref="Q106:R106"/>
    <mergeCell ref="N98:T98"/>
    <mergeCell ref="X96:AB96"/>
    <mergeCell ref="Z101:AB102"/>
    <mergeCell ref="X97:AB97"/>
    <mergeCell ref="V96:W96"/>
    <mergeCell ref="N96:T96"/>
    <mergeCell ref="X95:AB95"/>
    <mergeCell ref="X74:AD74"/>
    <mergeCell ref="AF19:AF22"/>
    <mergeCell ref="AF23:AF28"/>
    <mergeCell ref="AF29:AF30"/>
    <mergeCell ref="AD87:AE87"/>
    <mergeCell ref="AD94:AE94"/>
    <mergeCell ref="P74:V74"/>
    <mergeCell ref="T75:U75"/>
    <mergeCell ref="Q75:R75"/>
    <mergeCell ref="V94:W94"/>
    <mergeCell ref="X93:AB93"/>
    <mergeCell ref="X94:AB94"/>
    <mergeCell ref="M89:M91"/>
    <mergeCell ref="Y76:AC76"/>
    <mergeCell ref="V86:W86"/>
    <mergeCell ref="V87:W87"/>
    <mergeCell ref="AD93:AE93"/>
    <mergeCell ref="N88:T88"/>
    <mergeCell ref="X87:AB87"/>
    <mergeCell ref="V85:W85"/>
    <mergeCell ref="N84:T84"/>
    <mergeCell ref="N89:T89"/>
    <mergeCell ref="N90:T90"/>
    <mergeCell ref="N91:T91"/>
    <mergeCell ref="V93:W93"/>
    <mergeCell ref="V89:W89"/>
    <mergeCell ref="V84:W84"/>
    <mergeCell ref="V90:W90"/>
    <mergeCell ref="V91:W91"/>
    <mergeCell ref="V88:W88"/>
    <mergeCell ref="X92:AB92"/>
    <mergeCell ref="N92:T92"/>
    <mergeCell ref="B94:B96"/>
    <mergeCell ref="F84:I84"/>
    <mergeCell ref="K84:L84"/>
    <mergeCell ref="F94:I94"/>
    <mergeCell ref="F85:I85"/>
    <mergeCell ref="K83:L83"/>
    <mergeCell ref="K96:L96"/>
    <mergeCell ref="B98:B101"/>
    <mergeCell ref="B84:B85"/>
    <mergeCell ref="K101:L101"/>
    <mergeCell ref="F101:I101"/>
    <mergeCell ref="D83:I83"/>
    <mergeCell ref="D98:E101"/>
    <mergeCell ref="C94:C96"/>
    <mergeCell ref="C98:C101"/>
    <mergeCell ref="F96:I96"/>
    <mergeCell ref="F99:I99"/>
    <mergeCell ref="K99:L99"/>
    <mergeCell ref="F95:I95"/>
    <mergeCell ref="K95:L95"/>
    <mergeCell ref="K94:L94"/>
    <mergeCell ref="D109:L109"/>
    <mergeCell ref="R80:T80"/>
    <mergeCell ref="M84:M85"/>
    <mergeCell ref="K86:L86"/>
    <mergeCell ref="F87:I87"/>
    <mergeCell ref="N87:T87"/>
    <mergeCell ref="N101:Y102"/>
    <mergeCell ref="F98:I98"/>
    <mergeCell ref="K98:L98"/>
    <mergeCell ref="F100:I100"/>
    <mergeCell ref="K100:L100"/>
    <mergeCell ref="V97:W97"/>
    <mergeCell ref="N95:T95"/>
    <mergeCell ref="E108:L108"/>
    <mergeCell ref="E107:L107"/>
    <mergeCell ref="E105:L105"/>
    <mergeCell ref="E104:L104"/>
    <mergeCell ref="D84:E85"/>
    <mergeCell ref="K91:L91"/>
    <mergeCell ref="D94:E96"/>
    <mergeCell ref="X84:AB84"/>
    <mergeCell ref="X85:AB85"/>
    <mergeCell ref="X86:AB86"/>
    <mergeCell ref="N97:T97"/>
    <mergeCell ref="E106:L106"/>
    <mergeCell ref="C1:AE1"/>
    <mergeCell ref="D89:E91"/>
    <mergeCell ref="F89:I89"/>
    <mergeCell ref="D87:E87"/>
    <mergeCell ref="K89:L89"/>
    <mergeCell ref="F90:I90"/>
    <mergeCell ref="K90:L90"/>
    <mergeCell ref="F91:I91"/>
    <mergeCell ref="K85:L85"/>
    <mergeCell ref="AD88:AE88"/>
    <mergeCell ref="AD91:AE91"/>
    <mergeCell ref="AD89:AE89"/>
    <mergeCell ref="AD90:AE90"/>
    <mergeCell ref="AD84:AE84"/>
    <mergeCell ref="AD85:AE85"/>
    <mergeCell ref="AD86:AE86"/>
    <mergeCell ref="X91:AB91"/>
    <mergeCell ref="C14:C16"/>
    <mergeCell ref="C89:C91"/>
    <mergeCell ref="C28:C30"/>
    <mergeCell ref="C47:C49"/>
    <mergeCell ref="D77:I78"/>
    <mergeCell ref="M98:M101"/>
    <mergeCell ref="C5:C7"/>
    <mergeCell ref="X90:AB90"/>
    <mergeCell ref="C8:C10"/>
    <mergeCell ref="C22:C24"/>
    <mergeCell ref="C36:C38"/>
    <mergeCell ref="C50:C52"/>
    <mergeCell ref="C64:C66"/>
    <mergeCell ref="C42:C44"/>
    <mergeCell ref="C56:C58"/>
    <mergeCell ref="C70:C72"/>
    <mergeCell ref="N85:T85"/>
    <mergeCell ref="N86:T86"/>
    <mergeCell ref="Q77:R78"/>
    <mergeCell ref="T77:U78"/>
    <mergeCell ref="AB77:AC78"/>
    <mergeCell ref="C19:C21"/>
    <mergeCell ref="C84:C85"/>
    <mergeCell ref="X88:AB88"/>
    <mergeCell ref="X89:AB89"/>
    <mergeCell ref="J77:L78"/>
    <mergeCell ref="C33:C35"/>
    <mergeCell ref="B83:C83"/>
    <mergeCell ref="B89:B91"/>
    <mergeCell ref="C61:C63"/>
  </mergeCells>
  <conditionalFormatting sqref="U86 U96 U89:U90">
    <cfRule type="cellIs" dxfId="37" priority="55" operator="lessThanOrEqual">
      <formula>4</formula>
    </cfRule>
    <cfRule type="cellIs" dxfId="36" priority="56" operator="greaterThan">
      <formula>4</formula>
    </cfRule>
  </conditionalFormatting>
  <conditionalFormatting sqref="AC86 AC88:AC89">
    <cfRule type="cellIs" dxfId="35" priority="51" operator="lessThanOrEqual">
      <formula>4</formula>
    </cfRule>
    <cfRule type="cellIs" dxfId="34" priority="52" operator="greaterThan">
      <formula>4</formula>
    </cfRule>
  </conditionalFormatting>
  <conditionalFormatting sqref="U93">
    <cfRule type="cellIs" dxfId="33" priority="47" operator="lessThanOrEqual">
      <formula>4</formula>
    </cfRule>
    <cfRule type="cellIs" dxfId="32" priority="48" operator="greaterThan">
      <formula>4</formula>
    </cfRule>
  </conditionalFormatting>
  <conditionalFormatting sqref="U84">
    <cfRule type="cellIs" dxfId="31" priority="43" operator="lessThanOrEqual">
      <formula>4</formula>
    </cfRule>
    <cfRule type="cellIs" dxfId="30" priority="44" operator="greaterThan">
      <formula>4</formula>
    </cfRule>
  </conditionalFormatting>
  <conditionalFormatting sqref="U94">
    <cfRule type="cellIs" dxfId="29" priority="41" operator="lessThanOrEqual">
      <formula>4</formula>
    </cfRule>
    <cfRule type="cellIs" dxfId="28" priority="42" operator="greaterThan">
      <formula>4</formula>
    </cfRule>
  </conditionalFormatting>
  <conditionalFormatting sqref="AC96">
    <cfRule type="cellIs" dxfId="27" priority="39" operator="lessThanOrEqual">
      <formula>4</formula>
    </cfRule>
    <cfRule type="cellIs" dxfId="26" priority="40" operator="greaterThan">
      <formula>4</formula>
    </cfRule>
  </conditionalFormatting>
  <conditionalFormatting sqref="AC84">
    <cfRule type="cellIs" dxfId="25" priority="35" operator="lessThanOrEqual">
      <formula>4</formula>
    </cfRule>
    <cfRule type="cellIs" dxfId="24" priority="36" operator="greaterThan">
      <formula>4</formula>
    </cfRule>
  </conditionalFormatting>
  <conditionalFormatting sqref="AC85">
    <cfRule type="cellIs" dxfId="23" priority="33" operator="lessThanOrEqual">
      <formula>4</formula>
    </cfRule>
    <cfRule type="cellIs" dxfId="22" priority="34" operator="greaterThan">
      <formula>4</formula>
    </cfRule>
  </conditionalFormatting>
  <conditionalFormatting sqref="U91:U92">
    <cfRule type="cellIs" dxfId="21" priority="21" operator="lessThanOrEqual">
      <formula>4</formula>
    </cfRule>
    <cfRule type="cellIs" dxfId="20" priority="22" operator="greaterThan">
      <formula>4</formula>
    </cfRule>
  </conditionalFormatting>
  <conditionalFormatting sqref="U88">
    <cfRule type="cellIs" dxfId="19" priority="19" operator="lessThanOrEqual">
      <formula>4</formula>
    </cfRule>
    <cfRule type="cellIs" dxfId="18" priority="20" operator="greaterThan">
      <formula>4</formula>
    </cfRule>
  </conditionalFormatting>
  <conditionalFormatting sqref="U85">
    <cfRule type="cellIs" dxfId="17" priority="17" operator="lessThanOrEqual">
      <formula>4</formula>
    </cfRule>
    <cfRule type="cellIs" dxfId="16" priority="18" operator="greaterThan">
      <formula>4</formula>
    </cfRule>
  </conditionalFormatting>
  <conditionalFormatting sqref="U87">
    <cfRule type="cellIs" dxfId="15" priority="15" operator="lessThanOrEqual">
      <formula>4</formula>
    </cfRule>
    <cfRule type="cellIs" dxfId="14" priority="16" operator="greaterThan">
      <formula>4</formula>
    </cfRule>
  </conditionalFormatting>
  <conditionalFormatting sqref="U95">
    <cfRule type="cellIs" dxfId="13" priority="13" operator="lessThanOrEqual">
      <formula>4</formula>
    </cfRule>
    <cfRule type="cellIs" dxfId="12" priority="14" operator="greaterThan">
      <formula>4</formula>
    </cfRule>
  </conditionalFormatting>
  <conditionalFormatting sqref="AC87">
    <cfRule type="cellIs" dxfId="11" priority="11" operator="lessThanOrEqual">
      <formula>4</formula>
    </cfRule>
    <cfRule type="cellIs" dxfId="10" priority="12" operator="greaterThan">
      <formula>4</formula>
    </cfRule>
  </conditionalFormatting>
  <conditionalFormatting sqref="AC90">
    <cfRule type="cellIs" dxfId="9" priority="9" operator="lessThanOrEqual">
      <formula>4</formula>
    </cfRule>
    <cfRule type="cellIs" dxfId="8" priority="10" operator="greaterThan">
      <formula>4</formula>
    </cfRule>
  </conditionalFormatting>
  <conditionalFormatting sqref="AC91:AC92">
    <cfRule type="cellIs" dxfId="7" priority="7" operator="lessThanOrEqual">
      <formula>4</formula>
    </cfRule>
    <cfRule type="cellIs" dxfId="6" priority="8" operator="greaterThan">
      <formula>4</formula>
    </cfRule>
  </conditionalFormatting>
  <conditionalFormatting sqref="AC93">
    <cfRule type="cellIs" dxfId="5" priority="5" operator="lessThanOrEqual">
      <formula>4</formula>
    </cfRule>
    <cfRule type="cellIs" dxfId="4" priority="6" operator="greaterThan">
      <formula>4</formula>
    </cfRule>
  </conditionalFormatting>
  <conditionalFormatting sqref="AC94">
    <cfRule type="cellIs" dxfId="3" priority="3" operator="lessThanOrEqual">
      <formula>4</formula>
    </cfRule>
    <cfRule type="cellIs" dxfId="2" priority="4" operator="greaterThan">
      <formula>4</formula>
    </cfRule>
  </conditionalFormatting>
  <conditionalFormatting sqref="AC95">
    <cfRule type="cellIs" dxfId="1" priority="1" operator="lessThanOrEqual">
      <formula>4</formula>
    </cfRule>
    <cfRule type="cellIs" dxfId="0" priority="2" operator="greaterThan">
      <formula>4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10" fitToHeight="0" orientation="landscape" r:id="rId2"/>
  <rowBreaks count="3" manualBreakCount="3">
    <brk id="31" max="30" man="1"/>
    <brk id="59" max="30" man="1"/>
    <brk id="81" max="2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M520"/>
  <sheetViews>
    <sheetView view="pageBreakPreview" topLeftCell="A10" zoomScale="90" zoomScaleNormal="100" zoomScaleSheetLayoutView="90" workbookViewId="0">
      <selection activeCell="A4" sqref="A4"/>
    </sheetView>
  </sheetViews>
  <sheetFormatPr defaultRowHeight="30" customHeight="1" x14ac:dyDescent="0.25"/>
  <cols>
    <col min="1" max="1" width="8.140625" style="194" customWidth="1"/>
    <col min="2" max="3" width="8.7109375" style="199" customWidth="1"/>
    <col min="4" max="4" width="12" style="196" customWidth="1"/>
    <col min="5" max="5" width="13" style="196" customWidth="1"/>
    <col min="6" max="6" width="18.85546875" style="139" customWidth="1"/>
    <col min="7" max="7" width="12" style="139" customWidth="1"/>
    <col min="8" max="8" width="13.7109375" style="139" customWidth="1"/>
    <col min="9" max="9" width="12.28515625" style="139" customWidth="1"/>
    <col min="10" max="10" width="32.42578125" style="139" customWidth="1"/>
    <col min="11" max="11" width="12.28515625" style="139" customWidth="1"/>
    <col min="12" max="12" width="19.85546875" style="192" customWidth="1"/>
    <col min="13" max="13" width="51.28515625" style="192" customWidth="1"/>
    <col min="14" max="16384" width="9.140625" style="191"/>
  </cols>
  <sheetData>
    <row r="1" spans="1:13" ht="30" customHeight="1" x14ac:dyDescent="0.25">
      <c r="A1" s="475" t="s">
        <v>108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579"/>
    </row>
    <row r="2" spans="1:13" ht="9" customHeight="1" x14ac:dyDescent="0.25">
      <c r="A2" s="193"/>
      <c r="B2" s="197"/>
      <c r="C2" s="197"/>
      <c r="D2" s="195"/>
      <c r="E2" s="195"/>
      <c r="F2" s="134"/>
      <c r="G2" s="134"/>
      <c r="H2" s="134"/>
      <c r="I2" s="134"/>
      <c r="J2" s="134"/>
      <c r="K2" s="134"/>
      <c r="L2" s="135"/>
      <c r="M2" s="135"/>
    </row>
    <row r="3" spans="1:13" ht="35.1" customHeight="1" thickBot="1" x14ac:dyDescent="0.3">
      <c r="A3" s="676" t="s">
        <v>136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</row>
    <row r="4" spans="1:13" s="200" customFormat="1" ht="38.25" customHeight="1" thickBot="1" x14ac:dyDescent="0.3">
      <c r="A4" s="204" t="s">
        <v>63</v>
      </c>
      <c r="B4" s="673" t="s">
        <v>64</v>
      </c>
      <c r="C4" s="674"/>
      <c r="D4" s="207" t="s">
        <v>70</v>
      </c>
      <c r="E4" s="218" t="s">
        <v>72</v>
      </c>
      <c r="F4" s="210" t="s">
        <v>65</v>
      </c>
      <c r="G4" s="213" t="s">
        <v>66</v>
      </c>
      <c r="H4" s="213" t="s">
        <v>67</v>
      </c>
      <c r="I4" s="675" t="s">
        <v>68</v>
      </c>
      <c r="J4" s="668"/>
      <c r="K4" s="213" t="s">
        <v>11</v>
      </c>
      <c r="L4" s="213" t="s">
        <v>69</v>
      </c>
      <c r="M4" s="213" t="s">
        <v>71</v>
      </c>
    </row>
    <row r="5" spans="1:13" ht="35.1" customHeight="1" x14ac:dyDescent="0.25">
      <c r="A5" s="334"/>
      <c r="B5" s="202"/>
      <c r="C5" s="201"/>
      <c r="D5" s="208">
        <f t="shared" ref="D5:D68" si="0">C5-B5</f>
        <v>0</v>
      </c>
      <c r="E5" s="307"/>
      <c r="F5" s="308"/>
      <c r="G5" s="303"/>
      <c r="H5" s="303"/>
      <c r="I5" s="309"/>
      <c r="J5" s="303"/>
      <c r="K5" s="303"/>
      <c r="L5" s="303"/>
      <c r="M5" s="310"/>
    </row>
    <row r="6" spans="1:13" ht="35.1" customHeight="1" x14ac:dyDescent="0.25">
      <c r="A6" s="335"/>
      <c r="B6" s="202"/>
      <c r="C6" s="201"/>
      <c r="D6" s="208">
        <f t="shared" si="0"/>
        <v>0</v>
      </c>
      <c r="E6" s="254"/>
      <c r="F6" s="301"/>
      <c r="G6" s="257"/>
      <c r="H6" s="257"/>
      <c r="I6" s="302"/>
      <c r="J6" s="257"/>
      <c r="K6" s="257"/>
      <c r="L6" s="257"/>
      <c r="M6" s="257"/>
    </row>
    <row r="7" spans="1:13" ht="35.1" customHeight="1" x14ac:dyDescent="0.25">
      <c r="A7" s="335"/>
      <c r="B7" s="202"/>
      <c r="C7" s="201"/>
      <c r="D7" s="208">
        <f t="shared" si="0"/>
        <v>0</v>
      </c>
      <c r="E7" s="254"/>
      <c r="F7" s="301"/>
      <c r="G7" s="257"/>
      <c r="H7" s="257"/>
      <c r="I7" s="302"/>
      <c r="J7" s="257"/>
      <c r="K7" s="257"/>
      <c r="L7" s="257"/>
      <c r="M7" s="257"/>
    </row>
    <row r="8" spans="1:13" ht="35.1" customHeight="1" x14ac:dyDescent="0.25">
      <c r="A8" s="335"/>
      <c r="B8" s="202"/>
      <c r="C8" s="201"/>
      <c r="D8" s="208">
        <f t="shared" si="0"/>
        <v>0</v>
      </c>
      <c r="E8" s="254"/>
      <c r="F8" s="301"/>
      <c r="G8" s="257"/>
      <c r="H8" s="257"/>
      <c r="I8" s="302"/>
      <c r="J8" s="257"/>
      <c r="K8" s="257"/>
      <c r="L8" s="257"/>
      <c r="M8" s="257"/>
    </row>
    <row r="9" spans="1:13" ht="35.1" customHeight="1" x14ac:dyDescent="0.25">
      <c r="A9" s="335"/>
      <c r="B9" s="202"/>
      <c r="C9" s="201"/>
      <c r="D9" s="208">
        <f t="shared" si="0"/>
        <v>0</v>
      </c>
      <c r="E9" s="254"/>
      <c r="F9" s="258"/>
      <c r="G9" s="256"/>
      <c r="H9" s="256"/>
      <c r="I9" s="255"/>
      <c r="J9" s="256"/>
      <c r="K9" s="256"/>
      <c r="L9" s="257"/>
      <c r="M9" s="257"/>
    </row>
    <row r="10" spans="1:13" ht="35.1" customHeight="1" x14ac:dyDescent="0.25">
      <c r="A10" s="335"/>
      <c r="B10" s="202"/>
      <c r="C10" s="201"/>
      <c r="D10" s="208">
        <f t="shared" si="0"/>
        <v>0</v>
      </c>
      <c r="E10" s="254"/>
      <c r="F10" s="301"/>
      <c r="G10" s="257"/>
      <c r="H10" s="257"/>
      <c r="I10" s="302"/>
      <c r="J10" s="257"/>
      <c r="K10" s="257"/>
      <c r="L10" s="257"/>
      <c r="M10" s="257"/>
    </row>
    <row r="11" spans="1:13" ht="35.1" customHeight="1" x14ac:dyDescent="0.25">
      <c r="A11" s="335"/>
      <c r="B11" s="202"/>
      <c r="C11" s="201"/>
      <c r="D11" s="208">
        <f t="shared" si="0"/>
        <v>0</v>
      </c>
      <c r="E11" s="254"/>
      <c r="F11" s="258"/>
      <c r="G11" s="256"/>
      <c r="H11" s="256"/>
      <c r="I11" s="255"/>
      <c r="J11" s="256"/>
      <c r="K11" s="256"/>
      <c r="L11" s="257"/>
      <c r="M11" s="257"/>
    </row>
    <row r="12" spans="1:13" ht="35.1" customHeight="1" x14ac:dyDescent="0.25">
      <c r="A12" s="335"/>
      <c r="B12" s="202"/>
      <c r="C12" s="201"/>
      <c r="D12" s="208">
        <f t="shared" si="0"/>
        <v>0</v>
      </c>
      <c r="E12" s="254"/>
      <c r="F12" s="258"/>
      <c r="G12" s="256"/>
      <c r="H12" s="256"/>
      <c r="I12" s="255"/>
      <c r="J12" s="256"/>
      <c r="K12" s="256"/>
      <c r="L12" s="257"/>
      <c r="M12" s="257"/>
    </row>
    <row r="13" spans="1:13" ht="35.1" customHeight="1" x14ac:dyDescent="0.25">
      <c r="A13" s="335"/>
      <c r="B13" s="202"/>
      <c r="C13" s="201"/>
      <c r="D13" s="208">
        <f t="shared" si="0"/>
        <v>0</v>
      </c>
      <c r="E13" s="254"/>
      <c r="F13" s="258"/>
      <c r="G13" s="256"/>
      <c r="H13" s="256"/>
      <c r="I13" s="255"/>
      <c r="J13" s="256"/>
      <c r="K13" s="256"/>
      <c r="L13" s="257"/>
      <c r="M13" s="257"/>
    </row>
    <row r="14" spans="1:13" ht="35.1" customHeight="1" x14ac:dyDescent="0.25">
      <c r="A14" s="335"/>
      <c r="B14" s="202"/>
      <c r="C14" s="201"/>
      <c r="D14" s="208">
        <f t="shared" si="0"/>
        <v>0</v>
      </c>
      <c r="E14" s="254"/>
      <c r="F14" s="258"/>
      <c r="G14" s="256"/>
      <c r="H14" s="256"/>
      <c r="I14" s="255"/>
      <c r="J14" s="256"/>
      <c r="K14" s="256"/>
      <c r="L14" s="257"/>
      <c r="M14" s="257"/>
    </row>
    <row r="15" spans="1:13" ht="35.1" customHeight="1" x14ac:dyDescent="0.25">
      <c r="A15" s="335"/>
      <c r="B15" s="202"/>
      <c r="C15" s="201"/>
      <c r="D15" s="208">
        <f t="shared" si="0"/>
        <v>0</v>
      </c>
      <c r="E15" s="254"/>
      <c r="F15" s="258"/>
      <c r="G15" s="256"/>
      <c r="H15" s="256"/>
      <c r="I15" s="255"/>
      <c r="J15" s="256"/>
      <c r="K15" s="256"/>
      <c r="L15" s="257"/>
      <c r="M15" s="257"/>
    </row>
    <row r="16" spans="1:13" ht="35.1" customHeight="1" x14ac:dyDescent="0.25">
      <c r="A16" s="335"/>
      <c r="B16" s="202"/>
      <c r="C16" s="201"/>
      <c r="D16" s="208">
        <f t="shared" si="0"/>
        <v>0</v>
      </c>
      <c r="E16" s="254"/>
      <c r="F16" s="258"/>
      <c r="G16" s="256"/>
      <c r="H16" s="256"/>
      <c r="I16" s="255"/>
      <c r="J16" s="256"/>
      <c r="K16" s="256"/>
      <c r="L16" s="257"/>
      <c r="M16" s="257"/>
    </row>
    <row r="17" spans="1:13" ht="35.1" customHeight="1" x14ac:dyDescent="0.25">
      <c r="A17" s="335"/>
      <c r="B17" s="202"/>
      <c r="C17" s="201"/>
      <c r="D17" s="208">
        <f t="shared" si="0"/>
        <v>0</v>
      </c>
      <c r="E17" s="254"/>
      <c r="F17" s="258"/>
      <c r="G17" s="256"/>
      <c r="H17" s="256"/>
      <c r="I17" s="255"/>
      <c r="J17" s="256"/>
      <c r="K17" s="256"/>
      <c r="L17" s="257"/>
      <c r="M17" s="257"/>
    </row>
    <row r="18" spans="1:13" ht="35.1" customHeight="1" x14ac:dyDescent="0.25">
      <c r="A18" s="335"/>
      <c r="B18" s="202"/>
      <c r="C18" s="201"/>
      <c r="D18" s="208">
        <f t="shared" si="0"/>
        <v>0</v>
      </c>
      <c r="E18" s="254"/>
      <c r="F18" s="258"/>
      <c r="G18" s="256"/>
      <c r="H18" s="256"/>
      <c r="I18" s="255"/>
      <c r="J18" s="256"/>
      <c r="K18" s="256"/>
      <c r="L18" s="257"/>
      <c r="M18" s="259"/>
    </row>
    <row r="19" spans="1:13" ht="35.1" customHeight="1" x14ac:dyDescent="0.25">
      <c r="A19" s="335"/>
      <c r="B19" s="202"/>
      <c r="C19" s="201"/>
      <c r="D19" s="208">
        <f t="shared" si="0"/>
        <v>0</v>
      </c>
      <c r="E19" s="254"/>
      <c r="F19" s="258"/>
      <c r="G19" s="256"/>
      <c r="H19" s="256"/>
      <c r="I19" s="255"/>
      <c r="J19" s="256"/>
      <c r="K19" s="256"/>
      <c r="L19" s="257"/>
      <c r="M19" s="257"/>
    </row>
    <row r="20" spans="1:13" ht="35.1" customHeight="1" x14ac:dyDescent="0.25">
      <c r="A20" s="335"/>
      <c r="B20" s="202"/>
      <c r="C20" s="201"/>
      <c r="D20" s="208">
        <f t="shared" si="0"/>
        <v>0</v>
      </c>
      <c r="E20" s="254"/>
      <c r="F20" s="258"/>
      <c r="G20" s="256"/>
      <c r="H20" s="256"/>
      <c r="I20" s="255"/>
      <c r="J20" s="256"/>
      <c r="K20" s="256"/>
      <c r="L20" s="257"/>
      <c r="M20" s="257"/>
    </row>
    <row r="21" spans="1:13" ht="35.1" customHeight="1" x14ac:dyDescent="0.25">
      <c r="A21" s="335"/>
      <c r="B21" s="202"/>
      <c r="C21" s="201"/>
      <c r="D21" s="208">
        <f t="shared" si="0"/>
        <v>0</v>
      </c>
      <c r="E21" s="254"/>
      <c r="F21" s="258"/>
      <c r="G21" s="256"/>
      <c r="H21" s="256"/>
      <c r="I21" s="255"/>
      <c r="J21" s="256"/>
      <c r="K21" s="256"/>
      <c r="L21" s="257"/>
      <c r="M21" s="257"/>
    </row>
    <row r="22" spans="1:13" ht="35.1" customHeight="1" x14ac:dyDescent="0.25">
      <c r="A22" s="335"/>
      <c r="B22" s="202"/>
      <c r="C22" s="201"/>
      <c r="D22" s="208">
        <f t="shared" si="0"/>
        <v>0</v>
      </c>
      <c r="E22" s="254"/>
      <c r="F22" s="258"/>
      <c r="G22" s="256"/>
      <c r="H22" s="256"/>
      <c r="I22" s="255"/>
      <c r="J22" s="256"/>
      <c r="K22" s="256"/>
      <c r="L22" s="257"/>
      <c r="M22" s="257"/>
    </row>
    <row r="23" spans="1:13" ht="35.1" customHeight="1" x14ac:dyDescent="0.25">
      <c r="A23" s="335"/>
      <c r="B23" s="202"/>
      <c r="C23" s="201"/>
      <c r="D23" s="208">
        <f t="shared" si="0"/>
        <v>0</v>
      </c>
      <c r="E23" s="254"/>
      <c r="F23" s="258"/>
      <c r="G23" s="256"/>
      <c r="H23" s="256"/>
      <c r="I23" s="255"/>
      <c r="J23" s="256"/>
      <c r="K23" s="256"/>
      <c r="L23" s="257"/>
      <c r="M23" s="257"/>
    </row>
    <row r="24" spans="1:13" ht="35.1" customHeight="1" x14ac:dyDescent="0.25">
      <c r="A24" s="335"/>
      <c r="B24" s="202"/>
      <c r="C24" s="201"/>
      <c r="D24" s="208">
        <f t="shared" si="0"/>
        <v>0</v>
      </c>
      <c r="E24" s="254"/>
      <c r="F24" s="258"/>
      <c r="G24" s="256"/>
      <c r="H24" s="256"/>
      <c r="I24" s="255"/>
      <c r="J24" s="256"/>
      <c r="K24" s="256"/>
      <c r="L24" s="257"/>
      <c r="M24" s="257"/>
    </row>
    <row r="25" spans="1:13" ht="35.1" customHeight="1" x14ac:dyDescent="0.25">
      <c r="A25" s="335"/>
      <c r="B25" s="202"/>
      <c r="C25" s="201"/>
      <c r="D25" s="208">
        <f t="shared" si="0"/>
        <v>0</v>
      </c>
      <c r="E25" s="254"/>
      <c r="F25" s="258"/>
      <c r="G25" s="256"/>
      <c r="H25" s="256"/>
      <c r="I25" s="255"/>
      <c r="J25" s="256"/>
      <c r="K25" s="256"/>
      <c r="L25" s="257"/>
      <c r="M25" s="257"/>
    </row>
    <row r="26" spans="1:13" ht="35.1" customHeight="1" x14ac:dyDescent="0.25">
      <c r="A26" s="335"/>
      <c r="B26" s="202"/>
      <c r="C26" s="201"/>
      <c r="D26" s="208">
        <f t="shared" si="0"/>
        <v>0</v>
      </c>
      <c r="E26" s="254"/>
      <c r="F26" s="258"/>
      <c r="G26" s="256"/>
      <c r="H26" s="256"/>
      <c r="I26" s="255"/>
      <c r="J26" s="256"/>
      <c r="K26" s="256"/>
      <c r="L26" s="257"/>
      <c r="M26" s="257"/>
    </row>
    <row r="27" spans="1:13" ht="35.1" customHeight="1" x14ac:dyDescent="0.25">
      <c r="A27" s="335"/>
      <c r="B27" s="202"/>
      <c r="C27" s="201"/>
      <c r="D27" s="208">
        <f t="shared" si="0"/>
        <v>0</v>
      </c>
      <c r="E27" s="254"/>
      <c r="F27" s="258"/>
      <c r="G27" s="256"/>
      <c r="H27" s="256"/>
      <c r="I27" s="255"/>
      <c r="J27" s="256"/>
      <c r="K27" s="256"/>
      <c r="L27" s="257"/>
      <c r="M27" s="257"/>
    </row>
    <row r="28" spans="1:13" ht="35.1" customHeight="1" x14ac:dyDescent="0.25">
      <c r="A28" s="335"/>
      <c r="B28" s="202"/>
      <c r="C28" s="201"/>
      <c r="D28" s="208">
        <f t="shared" si="0"/>
        <v>0</v>
      </c>
      <c r="E28" s="254"/>
      <c r="F28" s="258"/>
      <c r="G28" s="256"/>
      <c r="H28" s="256"/>
      <c r="I28" s="255"/>
      <c r="J28" s="256"/>
      <c r="K28" s="256"/>
      <c r="L28" s="257"/>
      <c r="M28" s="257"/>
    </row>
    <row r="29" spans="1:13" ht="35.1" customHeight="1" x14ac:dyDescent="0.25">
      <c r="A29" s="335"/>
      <c r="B29" s="202"/>
      <c r="C29" s="201"/>
      <c r="D29" s="208">
        <f t="shared" si="0"/>
        <v>0</v>
      </c>
      <c r="E29" s="254"/>
      <c r="F29" s="258"/>
      <c r="G29" s="256"/>
      <c r="H29" s="256"/>
      <c r="I29" s="255"/>
      <c r="J29" s="256"/>
      <c r="K29" s="256"/>
      <c r="L29" s="257"/>
      <c r="M29" s="257"/>
    </row>
    <row r="30" spans="1:13" ht="35.1" customHeight="1" x14ac:dyDescent="0.25">
      <c r="A30" s="335"/>
      <c r="B30" s="202"/>
      <c r="C30" s="201"/>
      <c r="D30" s="208">
        <f t="shared" si="0"/>
        <v>0</v>
      </c>
      <c r="E30" s="254"/>
      <c r="F30" s="258"/>
      <c r="G30" s="256"/>
      <c r="H30" s="256"/>
      <c r="I30" s="255"/>
      <c r="J30" s="256"/>
      <c r="K30" s="256"/>
      <c r="L30" s="257"/>
      <c r="M30" s="257"/>
    </row>
    <row r="31" spans="1:13" ht="35.1" customHeight="1" x14ac:dyDescent="0.25">
      <c r="A31" s="335"/>
      <c r="B31" s="202"/>
      <c r="C31" s="201"/>
      <c r="D31" s="208">
        <f t="shared" si="0"/>
        <v>0</v>
      </c>
      <c r="E31" s="254"/>
      <c r="F31" s="258"/>
      <c r="G31" s="256"/>
      <c r="H31" s="256"/>
      <c r="I31" s="255"/>
      <c r="J31" s="256"/>
      <c r="K31" s="256"/>
      <c r="L31" s="257"/>
      <c r="M31" s="257"/>
    </row>
    <row r="32" spans="1:13" ht="35.1" customHeight="1" x14ac:dyDescent="0.25">
      <c r="A32" s="335"/>
      <c r="B32" s="202"/>
      <c r="C32" s="201"/>
      <c r="D32" s="208">
        <f t="shared" si="0"/>
        <v>0</v>
      </c>
      <c r="E32" s="254"/>
      <c r="F32" s="258"/>
      <c r="G32" s="256"/>
      <c r="H32" s="256"/>
      <c r="I32" s="255"/>
      <c r="J32" s="256"/>
      <c r="K32" s="256"/>
      <c r="L32" s="257"/>
      <c r="M32" s="259"/>
    </row>
    <row r="33" spans="1:13" ht="35.1" customHeight="1" x14ac:dyDescent="0.25">
      <c r="A33" s="335"/>
      <c r="B33" s="202"/>
      <c r="C33" s="201"/>
      <c r="D33" s="208">
        <f t="shared" si="0"/>
        <v>0</v>
      </c>
      <c r="E33" s="254"/>
      <c r="F33" s="258"/>
      <c r="G33" s="256"/>
      <c r="H33" s="256"/>
      <c r="I33" s="255"/>
      <c r="J33" s="256"/>
      <c r="K33" s="256"/>
      <c r="L33" s="257"/>
      <c r="M33" s="259"/>
    </row>
    <row r="34" spans="1:13" ht="35.1" customHeight="1" x14ac:dyDescent="0.25">
      <c r="A34" s="335"/>
      <c r="B34" s="202"/>
      <c r="C34" s="201"/>
      <c r="D34" s="208">
        <f t="shared" si="0"/>
        <v>0</v>
      </c>
      <c r="E34" s="254"/>
      <c r="F34" s="305"/>
      <c r="G34" s="304"/>
      <c r="H34" s="304"/>
      <c r="I34" s="306"/>
      <c r="J34" s="304"/>
      <c r="K34" s="304"/>
      <c r="L34" s="304"/>
      <c r="M34" s="257"/>
    </row>
    <row r="35" spans="1:13" ht="35.1" customHeight="1" x14ac:dyDescent="0.25">
      <c r="A35" s="335"/>
      <c r="B35" s="202"/>
      <c r="C35" s="201"/>
      <c r="D35" s="208">
        <f t="shared" si="0"/>
        <v>0</v>
      </c>
      <c r="E35" s="254"/>
      <c r="F35" s="301"/>
      <c r="G35" s="257"/>
      <c r="H35" s="257"/>
      <c r="I35" s="302"/>
      <c r="J35" s="257"/>
      <c r="K35" s="257"/>
      <c r="L35" s="257"/>
      <c r="M35" s="257"/>
    </row>
    <row r="36" spans="1:13" ht="35.1" customHeight="1" x14ac:dyDescent="0.25">
      <c r="A36" s="335"/>
      <c r="B36" s="202"/>
      <c r="C36" s="201"/>
      <c r="D36" s="208">
        <f t="shared" si="0"/>
        <v>0</v>
      </c>
      <c r="E36" s="254"/>
      <c r="F36" s="258"/>
      <c r="G36" s="256"/>
      <c r="H36" s="256"/>
      <c r="I36" s="255"/>
      <c r="J36" s="256"/>
      <c r="K36" s="256"/>
      <c r="L36" s="257"/>
      <c r="M36" s="257"/>
    </row>
    <row r="37" spans="1:13" ht="35.1" customHeight="1" x14ac:dyDescent="0.25">
      <c r="A37" s="335"/>
      <c r="B37" s="202"/>
      <c r="C37" s="201"/>
      <c r="D37" s="208">
        <f t="shared" si="0"/>
        <v>0</v>
      </c>
      <c r="E37" s="254"/>
      <c r="F37" s="258"/>
      <c r="G37" s="256"/>
      <c r="H37" s="256"/>
      <c r="I37" s="255"/>
      <c r="J37" s="256"/>
      <c r="K37" s="256"/>
      <c r="L37" s="257"/>
      <c r="M37" s="257"/>
    </row>
    <row r="38" spans="1:13" ht="35.1" customHeight="1" x14ac:dyDescent="0.25">
      <c r="A38" s="335"/>
      <c r="B38" s="202"/>
      <c r="C38" s="201"/>
      <c r="D38" s="208">
        <f t="shared" si="0"/>
        <v>0</v>
      </c>
      <c r="E38" s="254"/>
      <c r="F38" s="258"/>
      <c r="G38" s="256"/>
      <c r="H38" s="256"/>
      <c r="I38" s="255"/>
      <c r="J38" s="256"/>
      <c r="K38" s="256"/>
      <c r="L38" s="257"/>
      <c r="M38" s="257"/>
    </row>
    <row r="39" spans="1:13" ht="35.1" customHeight="1" x14ac:dyDescent="0.25">
      <c r="A39" s="335"/>
      <c r="B39" s="202"/>
      <c r="C39" s="201"/>
      <c r="D39" s="208">
        <f t="shared" si="0"/>
        <v>0</v>
      </c>
      <c r="E39" s="254"/>
      <c r="F39" s="301"/>
      <c r="G39" s="257"/>
      <c r="H39" s="257"/>
      <c r="I39" s="302"/>
      <c r="J39" s="257"/>
      <c r="K39" s="257"/>
      <c r="L39" s="257"/>
      <c r="M39" s="257"/>
    </row>
    <row r="40" spans="1:13" ht="35.1" customHeight="1" x14ac:dyDescent="0.25">
      <c r="A40" s="335"/>
      <c r="B40" s="202"/>
      <c r="C40" s="201"/>
      <c r="D40" s="208">
        <f t="shared" si="0"/>
        <v>0</v>
      </c>
      <c r="E40" s="254"/>
      <c r="F40" s="258"/>
      <c r="G40" s="256"/>
      <c r="H40" s="256"/>
      <c r="I40" s="255"/>
      <c r="J40" s="256"/>
      <c r="K40" s="256"/>
      <c r="L40" s="257"/>
      <c r="M40" s="259"/>
    </row>
    <row r="41" spans="1:13" ht="35.1" customHeight="1" x14ac:dyDescent="0.25">
      <c r="A41" s="335"/>
      <c r="B41" s="202"/>
      <c r="C41" s="201"/>
      <c r="D41" s="208">
        <f t="shared" si="0"/>
        <v>0</v>
      </c>
      <c r="E41" s="254"/>
      <c r="F41" s="258"/>
      <c r="G41" s="256"/>
      <c r="H41" s="256"/>
      <c r="I41" s="255"/>
      <c r="J41" s="256"/>
      <c r="K41" s="256"/>
      <c r="L41" s="257"/>
      <c r="M41" s="257"/>
    </row>
    <row r="42" spans="1:13" ht="35.1" customHeight="1" x14ac:dyDescent="0.25">
      <c r="A42" s="335"/>
      <c r="B42" s="202"/>
      <c r="C42" s="201"/>
      <c r="D42" s="208">
        <f t="shared" si="0"/>
        <v>0</v>
      </c>
      <c r="E42" s="254"/>
      <c r="F42" s="301"/>
      <c r="G42" s="257"/>
      <c r="H42" s="257"/>
      <c r="I42" s="302"/>
      <c r="J42" s="257"/>
      <c r="K42" s="257"/>
      <c r="L42" s="257"/>
      <c r="M42" s="257"/>
    </row>
    <row r="43" spans="1:13" ht="35.1" customHeight="1" x14ac:dyDescent="0.25">
      <c r="A43" s="335"/>
      <c r="B43" s="202"/>
      <c r="C43" s="201"/>
      <c r="D43" s="208">
        <f t="shared" si="0"/>
        <v>0</v>
      </c>
      <c r="E43" s="254"/>
      <c r="F43" s="258"/>
      <c r="G43" s="272"/>
      <c r="H43" s="256"/>
      <c r="I43" s="255"/>
      <c r="J43" s="256"/>
      <c r="K43" s="256"/>
      <c r="L43" s="257"/>
      <c r="M43" s="300"/>
    </row>
    <row r="44" spans="1:13" ht="35.1" customHeight="1" x14ac:dyDescent="0.25">
      <c r="A44" s="335"/>
      <c r="B44" s="202"/>
      <c r="C44" s="201"/>
      <c r="D44" s="208">
        <f t="shared" si="0"/>
        <v>0</v>
      </c>
      <c r="E44" s="254"/>
      <c r="F44" s="258"/>
      <c r="G44" s="272"/>
      <c r="H44" s="256"/>
      <c r="I44" s="255"/>
      <c r="J44" s="256"/>
      <c r="K44" s="256"/>
      <c r="L44" s="257"/>
      <c r="M44" s="300"/>
    </row>
    <row r="45" spans="1:13" ht="35.1" customHeight="1" x14ac:dyDescent="0.25">
      <c r="A45" s="336"/>
      <c r="B45" s="202"/>
      <c r="C45" s="201"/>
      <c r="D45" s="208">
        <f t="shared" si="0"/>
        <v>0</v>
      </c>
      <c r="E45" s="254"/>
      <c r="F45" s="258"/>
      <c r="G45" s="272"/>
      <c r="H45" s="256"/>
      <c r="I45" s="271"/>
      <c r="J45" s="272"/>
      <c r="K45" s="256"/>
      <c r="L45" s="300"/>
      <c r="M45" s="300"/>
    </row>
    <row r="46" spans="1:13" ht="35.1" customHeight="1" x14ac:dyDescent="0.25">
      <c r="A46" s="336"/>
      <c r="B46" s="202"/>
      <c r="C46" s="201"/>
      <c r="D46" s="208">
        <f t="shared" si="0"/>
        <v>0</v>
      </c>
      <c r="E46" s="254"/>
      <c r="F46" s="258"/>
      <c r="G46" s="272"/>
      <c r="H46" s="256"/>
      <c r="I46" s="271"/>
      <c r="J46" s="272"/>
      <c r="K46" s="256"/>
      <c r="L46" s="300"/>
      <c r="M46" s="300"/>
    </row>
    <row r="47" spans="1:13" ht="35.1" customHeight="1" x14ac:dyDescent="0.25">
      <c r="A47" s="336"/>
      <c r="B47" s="202"/>
      <c r="C47" s="201"/>
      <c r="D47" s="208">
        <f t="shared" si="0"/>
        <v>0</v>
      </c>
      <c r="E47" s="254"/>
      <c r="F47" s="258"/>
      <c r="G47" s="272"/>
      <c r="H47" s="256"/>
      <c r="I47" s="271"/>
      <c r="J47" s="272"/>
      <c r="K47" s="256"/>
      <c r="L47" s="300"/>
      <c r="M47" s="300"/>
    </row>
    <row r="48" spans="1:13" ht="35.1" customHeight="1" x14ac:dyDescent="0.25">
      <c r="A48" s="336"/>
      <c r="B48" s="202"/>
      <c r="C48" s="201"/>
      <c r="D48" s="208">
        <f t="shared" si="0"/>
        <v>0</v>
      </c>
      <c r="E48" s="254"/>
      <c r="F48" s="258"/>
      <c r="G48" s="272"/>
      <c r="H48" s="256"/>
      <c r="I48" s="271"/>
      <c r="J48" s="272"/>
      <c r="K48" s="256"/>
      <c r="L48" s="300"/>
      <c r="M48" s="300"/>
    </row>
    <row r="49" spans="1:13" ht="35.1" customHeight="1" x14ac:dyDescent="0.25">
      <c r="A49" s="336"/>
      <c r="B49" s="202"/>
      <c r="C49" s="201"/>
      <c r="D49" s="208">
        <f t="shared" si="0"/>
        <v>0</v>
      </c>
      <c r="E49" s="254"/>
      <c r="F49" s="258"/>
      <c r="G49" s="272"/>
      <c r="H49" s="256"/>
      <c r="I49" s="271"/>
      <c r="J49" s="272"/>
      <c r="K49" s="256"/>
      <c r="L49" s="300"/>
      <c r="M49" s="300"/>
    </row>
    <row r="50" spans="1:13" ht="35.1" customHeight="1" x14ac:dyDescent="0.25">
      <c r="A50" s="336"/>
      <c r="B50" s="202"/>
      <c r="C50" s="201"/>
      <c r="D50" s="208">
        <f t="shared" si="0"/>
        <v>0</v>
      </c>
      <c r="E50" s="254"/>
      <c r="F50" s="258"/>
      <c r="G50" s="272"/>
      <c r="H50" s="256"/>
      <c r="I50" s="271"/>
      <c r="J50" s="272"/>
      <c r="K50" s="256"/>
      <c r="L50" s="300"/>
      <c r="M50" s="300"/>
    </row>
    <row r="51" spans="1:13" ht="35.1" customHeight="1" x14ac:dyDescent="0.25">
      <c r="A51" s="336"/>
      <c r="B51" s="202"/>
      <c r="C51" s="201"/>
      <c r="D51" s="208">
        <f t="shared" si="0"/>
        <v>0</v>
      </c>
      <c r="E51" s="254"/>
      <c r="F51" s="258"/>
      <c r="G51" s="272"/>
      <c r="H51" s="256"/>
      <c r="I51" s="271"/>
      <c r="J51" s="272"/>
      <c r="K51" s="256"/>
      <c r="L51" s="300"/>
      <c r="M51" s="300"/>
    </row>
    <row r="52" spans="1:13" ht="35.1" customHeight="1" x14ac:dyDescent="0.25">
      <c r="A52" s="336"/>
      <c r="B52" s="202"/>
      <c r="C52" s="201"/>
      <c r="D52" s="208">
        <f t="shared" si="0"/>
        <v>0</v>
      </c>
      <c r="E52" s="254"/>
      <c r="F52" s="258"/>
      <c r="G52" s="272"/>
      <c r="H52" s="256"/>
      <c r="I52" s="271"/>
      <c r="J52" s="272"/>
      <c r="K52" s="256"/>
      <c r="L52" s="300"/>
      <c r="M52" s="300"/>
    </row>
    <row r="53" spans="1:13" ht="35.1" customHeight="1" x14ac:dyDescent="0.25">
      <c r="A53" s="336"/>
      <c r="B53" s="202"/>
      <c r="C53" s="201"/>
      <c r="D53" s="208">
        <f t="shared" si="0"/>
        <v>0</v>
      </c>
      <c r="E53" s="254"/>
      <c r="F53" s="258"/>
      <c r="G53" s="272"/>
      <c r="H53" s="256"/>
      <c r="I53" s="271"/>
      <c r="J53" s="272"/>
      <c r="K53" s="256"/>
      <c r="L53" s="300"/>
      <c r="M53" s="300"/>
    </row>
    <row r="54" spans="1:13" ht="35.1" customHeight="1" x14ac:dyDescent="0.25">
      <c r="A54" s="336"/>
      <c r="B54" s="202"/>
      <c r="C54" s="201"/>
      <c r="D54" s="208">
        <f t="shared" si="0"/>
        <v>0</v>
      </c>
      <c r="E54" s="254"/>
      <c r="F54" s="258"/>
      <c r="G54" s="272"/>
      <c r="H54" s="256"/>
      <c r="I54" s="271"/>
      <c r="J54" s="272"/>
      <c r="K54" s="256"/>
      <c r="L54" s="300"/>
      <c r="M54" s="300"/>
    </row>
    <row r="55" spans="1:13" ht="35.1" customHeight="1" x14ac:dyDescent="0.25">
      <c r="A55" s="336"/>
      <c r="B55" s="202"/>
      <c r="C55" s="201"/>
      <c r="D55" s="208">
        <f t="shared" si="0"/>
        <v>0</v>
      </c>
      <c r="E55" s="254"/>
      <c r="F55" s="258"/>
      <c r="G55" s="272"/>
      <c r="H55" s="256"/>
      <c r="I55" s="271"/>
      <c r="J55" s="272"/>
      <c r="K55" s="256"/>
      <c r="L55" s="300"/>
      <c r="M55" s="300"/>
    </row>
    <row r="56" spans="1:13" ht="35.1" customHeight="1" x14ac:dyDescent="0.25">
      <c r="A56" s="336"/>
      <c r="B56" s="202"/>
      <c r="C56" s="201"/>
      <c r="D56" s="208">
        <f t="shared" si="0"/>
        <v>0</v>
      </c>
      <c r="E56" s="254"/>
      <c r="F56" s="258"/>
      <c r="G56" s="272"/>
      <c r="H56" s="256"/>
      <c r="I56" s="271"/>
      <c r="J56" s="272"/>
      <c r="K56" s="256"/>
      <c r="L56" s="300"/>
      <c r="M56" s="300"/>
    </row>
    <row r="57" spans="1:13" ht="35.1" customHeight="1" x14ac:dyDescent="0.25">
      <c r="A57" s="336"/>
      <c r="B57" s="202"/>
      <c r="C57" s="201"/>
      <c r="D57" s="208">
        <f t="shared" si="0"/>
        <v>0</v>
      </c>
      <c r="E57" s="254"/>
      <c r="F57" s="301"/>
      <c r="G57" s="257"/>
      <c r="H57" s="257"/>
      <c r="I57" s="302"/>
      <c r="J57" s="257"/>
      <c r="K57" s="257"/>
      <c r="L57" s="257"/>
      <c r="M57" s="300"/>
    </row>
    <row r="58" spans="1:13" ht="35.1" customHeight="1" x14ac:dyDescent="0.25">
      <c r="A58" s="337"/>
      <c r="B58" s="202"/>
      <c r="C58" s="201"/>
      <c r="D58" s="208">
        <f t="shared" si="0"/>
        <v>0</v>
      </c>
      <c r="E58" s="253"/>
      <c r="F58" s="311"/>
      <c r="G58" s="274"/>
      <c r="H58" s="312"/>
      <c r="I58" s="273"/>
      <c r="J58" s="274"/>
      <c r="K58" s="312"/>
      <c r="L58" s="338"/>
      <c r="M58" s="300"/>
    </row>
    <row r="59" spans="1:13" ht="35.1" customHeight="1" x14ac:dyDescent="0.25">
      <c r="A59" s="336"/>
      <c r="B59" s="202"/>
      <c r="C59" s="201"/>
      <c r="D59" s="208">
        <f t="shared" si="0"/>
        <v>0</v>
      </c>
      <c r="E59" s="254"/>
      <c r="F59" s="258"/>
      <c r="G59" s="272"/>
      <c r="H59" s="272"/>
      <c r="I59" s="271"/>
      <c r="J59" s="272"/>
      <c r="K59" s="272"/>
      <c r="L59" s="300"/>
      <c r="M59" s="300"/>
    </row>
    <row r="60" spans="1:13" ht="35.1" customHeight="1" x14ac:dyDescent="0.25">
      <c r="A60" s="336"/>
      <c r="B60" s="202"/>
      <c r="C60" s="201"/>
      <c r="D60" s="208">
        <f t="shared" si="0"/>
        <v>0</v>
      </c>
      <c r="E60" s="254"/>
      <c r="F60" s="301"/>
      <c r="G60" s="300"/>
      <c r="H60" s="257"/>
      <c r="I60" s="302"/>
      <c r="J60" s="257"/>
      <c r="K60" s="257"/>
      <c r="L60" s="257"/>
      <c r="M60" s="300"/>
    </row>
    <row r="61" spans="1:13" ht="35.1" customHeight="1" x14ac:dyDescent="0.25">
      <c r="A61" s="336"/>
      <c r="B61" s="202"/>
      <c r="C61" s="201"/>
      <c r="D61" s="208">
        <f t="shared" si="0"/>
        <v>0</v>
      </c>
      <c r="E61" s="253"/>
      <c r="F61" s="258"/>
      <c r="G61" s="272"/>
      <c r="H61" s="272"/>
      <c r="I61" s="271"/>
      <c r="J61" s="272"/>
      <c r="K61" s="256"/>
      <c r="L61" s="300"/>
      <c r="M61" s="300"/>
    </row>
    <row r="62" spans="1:13" ht="35.1" customHeight="1" x14ac:dyDescent="0.25">
      <c r="A62" s="336"/>
      <c r="B62" s="202"/>
      <c r="C62" s="201"/>
      <c r="D62" s="208">
        <f t="shared" si="0"/>
        <v>0</v>
      </c>
      <c r="E62" s="254"/>
      <c r="F62" s="313"/>
      <c r="G62" s="272"/>
      <c r="H62" s="272"/>
      <c r="I62" s="271"/>
      <c r="J62" s="272"/>
      <c r="K62" s="256"/>
      <c r="L62" s="257"/>
      <c r="M62" s="300"/>
    </row>
    <row r="63" spans="1:13" ht="35.1" customHeight="1" x14ac:dyDescent="0.25">
      <c r="A63" s="336"/>
      <c r="B63" s="202"/>
      <c r="C63" s="201"/>
      <c r="D63" s="208">
        <f t="shared" si="0"/>
        <v>0</v>
      </c>
      <c r="E63" s="254"/>
      <c r="F63" s="301"/>
      <c r="G63" s="300"/>
      <c r="H63" s="300"/>
      <c r="I63" s="314"/>
      <c r="J63" s="300"/>
      <c r="K63" s="300"/>
      <c r="L63" s="300"/>
      <c r="M63" s="339"/>
    </row>
    <row r="64" spans="1:13" ht="35.1" customHeight="1" x14ac:dyDescent="0.25">
      <c r="A64" s="336"/>
      <c r="B64" s="202"/>
      <c r="C64" s="201"/>
      <c r="D64" s="208">
        <f t="shared" si="0"/>
        <v>0</v>
      </c>
      <c r="E64" s="253"/>
      <c r="F64" s="313"/>
      <c r="G64" s="313"/>
      <c r="H64" s="272"/>
      <c r="I64" s="271"/>
      <c r="J64" s="272"/>
      <c r="K64" s="272"/>
      <c r="L64" s="300"/>
      <c r="M64" s="304"/>
    </row>
    <row r="65" spans="1:13" ht="35.1" customHeight="1" x14ac:dyDescent="0.25">
      <c r="A65" s="336"/>
      <c r="B65" s="202"/>
      <c r="C65" s="201"/>
      <c r="D65" s="208">
        <f t="shared" si="0"/>
        <v>0</v>
      </c>
      <c r="E65" s="254"/>
      <c r="F65" s="313"/>
      <c r="G65" s="313"/>
      <c r="H65" s="272"/>
      <c r="I65" s="271"/>
      <c r="J65" s="272"/>
      <c r="K65" s="272"/>
      <c r="L65" s="300"/>
      <c r="M65" s="300"/>
    </row>
    <row r="66" spans="1:13" ht="35.1" customHeight="1" x14ac:dyDescent="0.25">
      <c r="A66" s="336"/>
      <c r="B66" s="202"/>
      <c r="C66" s="201"/>
      <c r="D66" s="208">
        <f t="shared" si="0"/>
        <v>0</v>
      </c>
      <c r="E66" s="254"/>
      <c r="F66" s="301"/>
      <c r="G66" s="272"/>
      <c r="H66" s="272"/>
      <c r="I66" s="271"/>
      <c r="J66" s="272"/>
      <c r="K66" s="272"/>
      <c r="L66" s="300"/>
      <c r="M66" s="300"/>
    </row>
    <row r="67" spans="1:13" ht="35.1" customHeight="1" x14ac:dyDescent="0.25">
      <c r="A67" s="336"/>
      <c r="B67" s="202"/>
      <c r="C67" s="201"/>
      <c r="D67" s="208">
        <f t="shared" si="0"/>
        <v>0</v>
      </c>
      <c r="E67" s="253"/>
      <c r="F67" s="313"/>
      <c r="G67" s="272"/>
      <c r="H67" s="272"/>
      <c r="I67" s="255"/>
      <c r="J67" s="272"/>
      <c r="K67" s="272"/>
      <c r="L67" s="257"/>
      <c r="M67" s="339"/>
    </row>
    <row r="68" spans="1:13" ht="35.1" customHeight="1" x14ac:dyDescent="0.25">
      <c r="A68" s="336"/>
      <c r="B68" s="202"/>
      <c r="C68" s="201"/>
      <c r="D68" s="208">
        <f t="shared" si="0"/>
        <v>0</v>
      </c>
      <c r="E68" s="254"/>
      <c r="F68" s="313"/>
      <c r="G68" s="272"/>
      <c r="H68" s="256"/>
      <c r="I68" s="255"/>
      <c r="J68" s="256"/>
      <c r="K68" s="256"/>
      <c r="L68" s="257"/>
      <c r="M68" s="300"/>
    </row>
    <row r="69" spans="1:13" ht="35.1" customHeight="1" x14ac:dyDescent="0.25">
      <c r="A69" s="336"/>
      <c r="B69" s="202"/>
      <c r="C69" s="201"/>
      <c r="D69" s="208">
        <f t="shared" ref="D69:D102" si="1">C69-B69</f>
        <v>0</v>
      </c>
      <c r="E69" s="254"/>
      <c r="F69" s="301"/>
      <c r="G69" s="272"/>
      <c r="H69" s="257"/>
      <c r="I69" s="302"/>
      <c r="J69" s="257"/>
      <c r="K69" s="257"/>
      <c r="L69" s="257"/>
      <c r="M69" s="300"/>
    </row>
    <row r="70" spans="1:13" ht="35.1" customHeight="1" x14ac:dyDescent="0.25">
      <c r="A70" s="336"/>
      <c r="B70" s="202"/>
      <c r="C70" s="201"/>
      <c r="D70" s="208">
        <f t="shared" si="1"/>
        <v>0</v>
      </c>
      <c r="E70" s="253"/>
      <c r="F70" s="313"/>
      <c r="G70" s="272"/>
      <c r="H70" s="272"/>
      <c r="I70" s="271"/>
      <c r="J70" s="272"/>
      <c r="K70" s="272"/>
      <c r="L70" s="300"/>
      <c r="M70" s="300"/>
    </row>
    <row r="71" spans="1:13" ht="35.1" customHeight="1" x14ac:dyDescent="0.25">
      <c r="A71" s="336"/>
      <c r="B71" s="202"/>
      <c r="C71" s="201"/>
      <c r="D71" s="208">
        <f t="shared" si="1"/>
        <v>0</v>
      </c>
      <c r="E71" s="254"/>
      <c r="F71" s="313"/>
      <c r="G71" s="272"/>
      <c r="H71" s="272"/>
      <c r="I71" s="271"/>
      <c r="J71" s="272"/>
      <c r="K71" s="256"/>
      <c r="L71" s="257"/>
      <c r="M71" s="300"/>
    </row>
    <row r="72" spans="1:13" ht="35.1" customHeight="1" x14ac:dyDescent="0.25">
      <c r="A72" s="336"/>
      <c r="B72" s="202"/>
      <c r="C72" s="201"/>
      <c r="D72" s="208">
        <f t="shared" si="1"/>
        <v>0</v>
      </c>
      <c r="E72" s="220"/>
      <c r="F72" s="313"/>
      <c r="G72" s="272"/>
      <c r="H72" s="272"/>
      <c r="I72" s="271"/>
      <c r="J72" s="272"/>
      <c r="K72" s="272"/>
      <c r="L72" s="300"/>
      <c r="M72" s="300"/>
    </row>
    <row r="73" spans="1:13" ht="35.1" customHeight="1" x14ac:dyDescent="0.25">
      <c r="A73" s="336"/>
      <c r="B73" s="202"/>
      <c r="C73" s="201"/>
      <c r="D73" s="208">
        <f t="shared" si="1"/>
        <v>0</v>
      </c>
      <c r="E73" s="220"/>
      <c r="F73" s="313"/>
      <c r="G73" s="272"/>
      <c r="H73" s="272"/>
      <c r="I73" s="271"/>
      <c r="J73" s="272"/>
      <c r="K73" s="272"/>
      <c r="L73" s="300"/>
      <c r="M73" s="300"/>
    </row>
    <row r="74" spans="1:13" ht="35.1" customHeight="1" x14ac:dyDescent="0.25">
      <c r="A74" s="336"/>
      <c r="B74" s="202"/>
      <c r="C74" s="201"/>
      <c r="D74" s="208">
        <f t="shared" si="1"/>
        <v>0</v>
      </c>
      <c r="E74" s="220"/>
      <c r="F74" s="313"/>
      <c r="G74" s="272"/>
      <c r="H74" s="272"/>
      <c r="I74" s="271"/>
      <c r="J74" s="272"/>
      <c r="K74" s="272"/>
      <c r="L74" s="300"/>
      <c r="M74" s="300"/>
    </row>
    <row r="75" spans="1:13" ht="35.1" customHeight="1" x14ac:dyDescent="0.25">
      <c r="A75" s="336"/>
      <c r="B75" s="202"/>
      <c r="C75" s="201"/>
      <c r="D75" s="208">
        <f t="shared" si="1"/>
        <v>0</v>
      </c>
      <c r="E75" s="220"/>
      <c r="F75" s="313"/>
      <c r="G75" s="272"/>
      <c r="H75" s="272"/>
      <c r="I75" s="271"/>
      <c r="J75" s="272"/>
      <c r="K75" s="272"/>
      <c r="L75" s="300"/>
      <c r="M75" s="300"/>
    </row>
    <row r="76" spans="1:13" ht="35.1" customHeight="1" x14ac:dyDescent="0.25">
      <c r="A76" s="336"/>
      <c r="B76" s="202"/>
      <c r="C76" s="201"/>
      <c r="D76" s="208">
        <f t="shared" si="1"/>
        <v>0</v>
      </c>
      <c r="E76" s="220"/>
      <c r="F76" s="313"/>
      <c r="G76" s="272"/>
      <c r="H76" s="272"/>
      <c r="I76" s="271"/>
      <c r="J76" s="272"/>
      <c r="K76" s="272"/>
      <c r="L76" s="300"/>
      <c r="M76" s="300"/>
    </row>
    <row r="77" spans="1:13" ht="35.1" customHeight="1" x14ac:dyDescent="0.25">
      <c r="A77" s="336"/>
      <c r="B77" s="202"/>
      <c r="C77" s="201"/>
      <c r="D77" s="208">
        <f t="shared" si="1"/>
        <v>0</v>
      </c>
      <c r="E77" s="220"/>
      <c r="F77" s="313"/>
      <c r="G77" s="272"/>
      <c r="H77" s="272"/>
      <c r="I77" s="271"/>
      <c r="J77" s="272"/>
      <c r="K77" s="272"/>
      <c r="L77" s="300"/>
      <c r="M77" s="300"/>
    </row>
    <row r="78" spans="1:13" ht="35.1" customHeight="1" x14ac:dyDescent="0.25">
      <c r="A78" s="336"/>
      <c r="B78" s="202"/>
      <c r="C78" s="201"/>
      <c r="D78" s="208">
        <f t="shared" si="1"/>
        <v>0</v>
      </c>
      <c r="E78" s="220"/>
      <c r="F78" s="313"/>
      <c r="G78" s="272"/>
      <c r="H78" s="272"/>
      <c r="I78" s="271"/>
      <c r="J78" s="272"/>
      <c r="K78" s="272"/>
      <c r="L78" s="300"/>
      <c r="M78" s="300"/>
    </row>
    <row r="79" spans="1:13" ht="35.1" customHeight="1" x14ac:dyDescent="0.25">
      <c r="A79" s="336"/>
      <c r="B79" s="202"/>
      <c r="C79" s="201"/>
      <c r="D79" s="208">
        <f t="shared" si="1"/>
        <v>0</v>
      </c>
      <c r="E79" s="220"/>
      <c r="F79" s="313"/>
      <c r="G79" s="272"/>
      <c r="H79" s="272"/>
      <c r="I79" s="271"/>
      <c r="J79" s="272"/>
      <c r="K79" s="272"/>
      <c r="L79" s="300"/>
      <c r="M79" s="300"/>
    </row>
    <row r="80" spans="1:13" ht="35.1" customHeight="1" x14ac:dyDescent="0.25">
      <c r="A80" s="336"/>
      <c r="B80" s="202"/>
      <c r="C80" s="201"/>
      <c r="D80" s="208">
        <f t="shared" si="1"/>
        <v>0</v>
      </c>
      <c r="E80" s="220"/>
      <c r="F80" s="313"/>
      <c r="G80" s="272"/>
      <c r="H80" s="272"/>
      <c r="I80" s="271"/>
      <c r="J80" s="272"/>
      <c r="K80" s="272"/>
      <c r="L80" s="300"/>
      <c r="M80" s="300"/>
    </row>
    <row r="81" spans="1:13" ht="35.1" customHeight="1" x14ac:dyDescent="0.25">
      <c r="A81" s="336"/>
      <c r="B81" s="202"/>
      <c r="C81" s="201"/>
      <c r="D81" s="208">
        <f t="shared" si="1"/>
        <v>0</v>
      </c>
      <c r="E81" s="220"/>
      <c r="F81" s="313"/>
      <c r="G81" s="272"/>
      <c r="H81" s="272"/>
      <c r="I81" s="271"/>
      <c r="J81" s="272"/>
      <c r="K81" s="272"/>
      <c r="L81" s="300"/>
      <c r="M81" s="300"/>
    </row>
    <row r="82" spans="1:13" ht="35.1" customHeight="1" x14ac:dyDescent="0.25">
      <c r="A82" s="336"/>
      <c r="B82" s="202"/>
      <c r="C82" s="201"/>
      <c r="D82" s="208">
        <f t="shared" si="1"/>
        <v>0</v>
      </c>
      <c r="E82" s="220"/>
      <c r="F82" s="313"/>
      <c r="G82" s="272"/>
      <c r="H82" s="272"/>
      <c r="I82" s="271"/>
      <c r="J82" s="272"/>
      <c r="K82" s="272"/>
      <c r="L82" s="300"/>
      <c r="M82" s="300"/>
    </row>
    <row r="83" spans="1:13" ht="35.1" customHeight="1" x14ac:dyDescent="0.25">
      <c r="A83" s="336"/>
      <c r="B83" s="202"/>
      <c r="C83" s="201"/>
      <c r="D83" s="208">
        <f t="shared" si="1"/>
        <v>0</v>
      </c>
      <c r="E83" s="220"/>
      <c r="F83" s="313"/>
      <c r="G83" s="272"/>
      <c r="H83" s="272"/>
      <c r="I83" s="271"/>
      <c r="J83" s="272"/>
      <c r="K83" s="272"/>
      <c r="L83" s="300"/>
      <c r="M83" s="300"/>
    </row>
    <row r="84" spans="1:13" ht="35.1" customHeight="1" x14ac:dyDescent="0.25">
      <c r="A84" s="336"/>
      <c r="B84" s="202"/>
      <c r="C84" s="201"/>
      <c r="D84" s="208">
        <f t="shared" si="1"/>
        <v>0</v>
      </c>
      <c r="E84" s="220"/>
      <c r="F84" s="313"/>
      <c r="G84" s="272"/>
      <c r="H84" s="272"/>
      <c r="I84" s="271"/>
      <c r="J84" s="272"/>
      <c r="K84" s="272"/>
      <c r="L84" s="300"/>
      <c r="M84" s="300"/>
    </row>
    <row r="85" spans="1:13" ht="35.1" customHeight="1" x14ac:dyDescent="0.25">
      <c r="A85" s="336"/>
      <c r="B85" s="202"/>
      <c r="C85" s="201"/>
      <c r="D85" s="208">
        <f t="shared" si="1"/>
        <v>0</v>
      </c>
      <c r="E85" s="220"/>
      <c r="F85" s="313"/>
      <c r="G85" s="272"/>
      <c r="H85" s="272"/>
      <c r="I85" s="271"/>
      <c r="J85" s="272"/>
      <c r="K85" s="272"/>
      <c r="L85" s="300"/>
      <c r="M85" s="300"/>
    </row>
    <row r="86" spans="1:13" ht="35.1" customHeight="1" x14ac:dyDescent="0.25">
      <c r="A86" s="336"/>
      <c r="B86" s="202"/>
      <c r="C86" s="201"/>
      <c r="D86" s="208">
        <f t="shared" si="1"/>
        <v>0</v>
      </c>
      <c r="E86" s="220"/>
      <c r="F86" s="313"/>
      <c r="G86" s="272"/>
      <c r="H86" s="272"/>
      <c r="I86" s="271"/>
      <c r="J86" s="272"/>
      <c r="K86" s="272"/>
      <c r="L86" s="300"/>
      <c r="M86" s="300"/>
    </row>
    <row r="87" spans="1:13" ht="35.1" customHeight="1" x14ac:dyDescent="0.25">
      <c r="A87" s="336"/>
      <c r="B87" s="202"/>
      <c r="C87" s="201"/>
      <c r="D87" s="208">
        <f t="shared" si="1"/>
        <v>0</v>
      </c>
      <c r="E87" s="220"/>
      <c r="F87" s="313"/>
      <c r="G87" s="272"/>
      <c r="H87" s="272"/>
      <c r="I87" s="271"/>
      <c r="J87" s="272"/>
      <c r="K87" s="272"/>
      <c r="L87" s="300"/>
      <c r="M87" s="300"/>
    </row>
    <row r="88" spans="1:13" ht="35.1" customHeight="1" x14ac:dyDescent="0.25">
      <c r="A88" s="336"/>
      <c r="B88" s="202"/>
      <c r="C88" s="201"/>
      <c r="D88" s="208">
        <f t="shared" si="1"/>
        <v>0</v>
      </c>
      <c r="E88" s="220"/>
      <c r="F88" s="313"/>
      <c r="G88" s="272"/>
      <c r="H88" s="272"/>
      <c r="I88" s="271"/>
      <c r="J88" s="272"/>
      <c r="K88" s="272"/>
      <c r="L88" s="300"/>
      <c r="M88" s="300"/>
    </row>
    <row r="89" spans="1:13" ht="35.1" customHeight="1" x14ac:dyDescent="0.25">
      <c r="A89" s="336"/>
      <c r="B89" s="202"/>
      <c r="C89" s="201"/>
      <c r="D89" s="208">
        <f t="shared" si="1"/>
        <v>0</v>
      </c>
      <c r="E89" s="220"/>
      <c r="F89" s="313"/>
      <c r="G89" s="272"/>
      <c r="H89" s="272"/>
      <c r="I89" s="271"/>
      <c r="J89" s="272"/>
      <c r="K89" s="272"/>
      <c r="L89" s="300"/>
      <c r="M89" s="300"/>
    </row>
    <row r="90" spans="1:13" ht="35.1" customHeight="1" x14ac:dyDescent="0.25">
      <c r="A90" s="336"/>
      <c r="B90" s="202"/>
      <c r="C90" s="201"/>
      <c r="D90" s="208">
        <f t="shared" si="1"/>
        <v>0</v>
      </c>
      <c r="E90" s="220"/>
      <c r="F90" s="313"/>
      <c r="G90" s="272"/>
      <c r="H90" s="272"/>
      <c r="I90" s="271"/>
      <c r="J90" s="272"/>
      <c r="K90" s="272"/>
      <c r="L90" s="300"/>
      <c r="M90" s="300"/>
    </row>
    <row r="91" spans="1:13" ht="35.1" customHeight="1" x14ac:dyDescent="0.25">
      <c r="A91" s="336"/>
      <c r="B91" s="202"/>
      <c r="C91" s="201"/>
      <c r="D91" s="208">
        <f t="shared" si="1"/>
        <v>0</v>
      </c>
      <c r="E91" s="220"/>
      <c r="F91" s="313"/>
      <c r="G91" s="272"/>
      <c r="H91" s="272"/>
      <c r="I91" s="271"/>
      <c r="J91" s="272"/>
      <c r="K91" s="272"/>
      <c r="L91" s="300"/>
      <c r="M91" s="300"/>
    </row>
    <row r="92" spans="1:13" ht="35.1" customHeight="1" x14ac:dyDescent="0.25">
      <c r="A92" s="336"/>
      <c r="B92" s="202"/>
      <c r="C92" s="201"/>
      <c r="D92" s="208">
        <f t="shared" si="1"/>
        <v>0</v>
      </c>
      <c r="E92" s="220"/>
      <c r="F92" s="313"/>
      <c r="G92" s="272"/>
      <c r="H92" s="272"/>
      <c r="I92" s="271"/>
      <c r="J92" s="272"/>
      <c r="K92" s="272"/>
      <c r="L92" s="300"/>
      <c r="M92" s="300"/>
    </row>
    <row r="93" spans="1:13" ht="35.1" customHeight="1" x14ac:dyDescent="0.25">
      <c r="A93" s="336"/>
      <c r="B93" s="202"/>
      <c r="C93" s="201"/>
      <c r="D93" s="208">
        <f t="shared" si="1"/>
        <v>0</v>
      </c>
      <c r="E93" s="220"/>
      <c r="F93" s="313"/>
      <c r="G93" s="272"/>
      <c r="H93" s="272"/>
      <c r="I93" s="271"/>
      <c r="J93" s="272"/>
      <c r="K93" s="272"/>
      <c r="L93" s="300"/>
      <c r="M93" s="300"/>
    </row>
    <row r="94" spans="1:13" ht="35.1" customHeight="1" x14ac:dyDescent="0.25">
      <c r="A94" s="336"/>
      <c r="B94" s="202"/>
      <c r="C94" s="201"/>
      <c r="D94" s="208">
        <f t="shared" si="1"/>
        <v>0</v>
      </c>
      <c r="E94" s="220"/>
      <c r="F94" s="313"/>
      <c r="G94" s="272"/>
      <c r="H94" s="272"/>
      <c r="I94" s="271"/>
      <c r="J94" s="272"/>
      <c r="K94" s="272"/>
      <c r="L94" s="300"/>
      <c r="M94" s="300"/>
    </row>
    <row r="95" spans="1:13" ht="35.1" customHeight="1" x14ac:dyDescent="0.25">
      <c r="A95" s="336"/>
      <c r="B95" s="202"/>
      <c r="C95" s="201"/>
      <c r="D95" s="208">
        <f t="shared" si="1"/>
        <v>0</v>
      </c>
      <c r="E95" s="220"/>
      <c r="F95" s="313"/>
      <c r="G95" s="272"/>
      <c r="H95" s="272"/>
      <c r="I95" s="271"/>
      <c r="J95" s="272"/>
      <c r="K95" s="272"/>
      <c r="L95" s="300"/>
      <c r="M95" s="300"/>
    </row>
    <row r="96" spans="1:13" ht="35.1" customHeight="1" x14ac:dyDescent="0.25">
      <c r="A96" s="336"/>
      <c r="B96" s="202"/>
      <c r="C96" s="201"/>
      <c r="D96" s="208">
        <f t="shared" si="1"/>
        <v>0</v>
      </c>
      <c r="E96" s="220"/>
      <c r="F96" s="313"/>
      <c r="G96" s="272"/>
      <c r="H96" s="272"/>
      <c r="I96" s="271"/>
      <c r="J96" s="272"/>
      <c r="K96" s="272"/>
      <c r="L96" s="300"/>
      <c r="M96" s="300"/>
    </row>
    <row r="97" spans="1:13" ht="35.1" customHeight="1" x14ac:dyDescent="0.25">
      <c r="A97" s="336"/>
      <c r="B97" s="202"/>
      <c r="C97" s="201"/>
      <c r="D97" s="208">
        <f t="shared" si="1"/>
        <v>0</v>
      </c>
      <c r="E97" s="220"/>
      <c r="F97" s="313"/>
      <c r="G97" s="272"/>
      <c r="H97" s="272"/>
      <c r="I97" s="271"/>
      <c r="J97" s="272"/>
      <c r="K97" s="272"/>
      <c r="L97" s="300"/>
      <c r="M97" s="300"/>
    </row>
    <row r="98" spans="1:13" ht="35.1" customHeight="1" x14ac:dyDescent="0.25">
      <c r="A98" s="336"/>
      <c r="B98" s="202"/>
      <c r="C98" s="201"/>
      <c r="D98" s="208">
        <f t="shared" si="1"/>
        <v>0</v>
      </c>
      <c r="E98" s="220"/>
      <c r="F98" s="313"/>
      <c r="G98" s="272"/>
      <c r="H98" s="272"/>
      <c r="I98" s="271"/>
      <c r="J98" s="272"/>
      <c r="K98" s="272"/>
      <c r="L98" s="300"/>
      <c r="M98" s="300"/>
    </row>
    <row r="99" spans="1:13" ht="35.1" customHeight="1" x14ac:dyDescent="0.25">
      <c r="A99" s="336"/>
      <c r="B99" s="202"/>
      <c r="C99" s="201"/>
      <c r="D99" s="208">
        <f t="shared" si="1"/>
        <v>0</v>
      </c>
      <c r="E99" s="220"/>
      <c r="F99" s="313"/>
      <c r="G99" s="272"/>
      <c r="H99" s="272"/>
      <c r="I99" s="271"/>
      <c r="J99" s="272"/>
      <c r="K99" s="272"/>
      <c r="L99" s="300"/>
      <c r="M99" s="300"/>
    </row>
    <row r="100" spans="1:13" ht="35.1" customHeight="1" x14ac:dyDescent="0.25">
      <c r="A100" s="336"/>
      <c r="B100" s="202"/>
      <c r="C100" s="201"/>
      <c r="D100" s="208">
        <f t="shared" si="1"/>
        <v>0</v>
      </c>
      <c r="E100" s="220"/>
      <c r="F100" s="313"/>
      <c r="G100" s="272"/>
      <c r="H100" s="272"/>
      <c r="I100" s="271"/>
      <c r="J100" s="272"/>
      <c r="K100" s="272"/>
      <c r="L100" s="300"/>
      <c r="M100" s="300"/>
    </row>
    <row r="101" spans="1:13" ht="35.1" customHeight="1" x14ac:dyDescent="0.25">
      <c r="A101" s="336"/>
      <c r="B101" s="202"/>
      <c r="C101" s="201"/>
      <c r="D101" s="208">
        <f t="shared" si="1"/>
        <v>0</v>
      </c>
      <c r="E101" s="220"/>
      <c r="F101" s="313"/>
      <c r="G101" s="272"/>
      <c r="H101" s="272"/>
      <c r="I101" s="271"/>
      <c r="J101" s="272"/>
      <c r="K101" s="272"/>
      <c r="L101" s="300"/>
      <c r="M101" s="300"/>
    </row>
    <row r="102" spans="1:13" ht="35.1" customHeight="1" x14ac:dyDescent="0.25">
      <c r="A102" s="336"/>
      <c r="B102" s="202"/>
      <c r="C102" s="201"/>
      <c r="D102" s="208">
        <f t="shared" si="1"/>
        <v>0</v>
      </c>
      <c r="E102" s="220"/>
      <c r="F102" s="313"/>
      <c r="G102" s="272"/>
      <c r="H102" s="272"/>
      <c r="I102" s="271"/>
      <c r="J102" s="272"/>
      <c r="K102" s="272"/>
      <c r="L102" s="300"/>
      <c r="M102" s="300"/>
    </row>
    <row r="103" spans="1:13" ht="35.1" customHeight="1" x14ac:dyDescent="0.25">
      <c r="A103" s="205"/>
      <c r="B103" s="202"/>
      <c r="C103" s="201"/>
      <c r="D103" s="208">
        <f t="shared" ref="D103:D166" si="2">C103-B103</f>
        <v>0</v>
      </c>
      <c r="E103" s="219"/>
      <c r="F103" s="211"/>
      <c r="G103" s="214"/>
      <c r="H103" s="214"/>
      <c r="I103" s="273"/>
      <c r="J103" s="274"/>
      <c r="K103" s="214"/>
      <c r="L103" s="216"/>
      <c r="M103" s="216"/>
    </row>
    <row r="104" spans="1:13" ht="35.1" customHeight="1" x14ac:dyDescent="0.25">
      <c r="A104" s="206"/>
      <c r="B104" s="203"/>
      <c r="C104" s="198"/>
      <c r="D104" s="209">
        <f t="shared" si="2"/>
        <v>0</v>
      </c>
      <c r="E104" s="220"/>
      <c r="F104" s="212"/>
      <c r="G104" s="215"/>
      <c r="H104" s="215"/>
      <c r="I104" s="271"/>
      <c r="J104" s="272"/>
      <c r="K104" s="215"/>
      <c r="L104" s="217"/>
      <c r="M104" s="217"/>
    </row>
    <row r="105" spans="1:13" ht="35.1" customHeight="1" x14ac:dyDescent="0.25">
      <c r="A105" s="206"/>
      <c r="B105" s="203"/>
      <c r="C105" s="198"/>
      <c r="D105" s="209">
        <f t="shared" si="2"/>
        <v>0</v>
      </c>
      <c r="E105" s="220"/>
      <c r="F105" s="212"/>
      <c r="G105" s="215"/>
      <c r="H105" s="215"/>
      <c r="I105" s="271"/>
      <c r="J105" s="272"/>
      <c r="K105" s="215"/>
      <c r="L105" s="217"/>
      <c r="M105" s="217"/>
    </row>
    <row r="106" spans="1:13" ht="35.1" customHeight="1" x14ac:dyDescent="0.25">
      <c r="A106" s="206"/>
      <c r="B106" s="203"/>
      <c r="C106" s="198"/>
      <c r="D106" s="209">
        <f t="shared" si="2"/>
        <v>0</v>
      </c>
      <c r="E106" s="220"/>
      <c r="F106" s="212"/>
      <c r="G106" s="215"/>
      <c r="H106" s="215"/>
      <c r="I106" s="271"/>
      <c r="J106" s="272"/>
      <c r="K106" s="215"/>
      <c r="L106" s="217"/>
      <c r="M106" s="217"/>
    </row>
    <row r="107" spans="1:13" ht="35.1" customHeight="1" x14ac:dyDescent="0.25">
      <c r="A107" s="206"/>
      <c r="B107" s="203"/>
      <c r="C107" s="198"/>
      <c r="D107" s="209">
        <f t="shared" si="2"/>
        <v>0</v>
      </c>
      <c r="E107" s="220"/>
      <c r="F107" s="212"/>
      <c r="G107" s="215"/>
      <c r="H107" s="215"/>
      <c r="I107" s="271"/>
      <c r="J107" s="272"/>
      <c r="K107" s="215"/>
      <c r="L107" s="217"/>
      <c r="M107" s="217"/>
    </row>
    <row r="108" spans="1:13" ht="35.1" customHeight="1" x14ac:dyDescent="0.25">
      <c r="A108" s="206"/>
      <c r="B108" s="203"/>
      <c r="C108" s="198"/>
      <c r="D108" s="209">
        <f t="shared" si="2"/>
        <v>0</v>
      </c>
      <c r="E108" s="220"/>
      <c r="F108" s="212"/>
      <c r="G108" s="215"/>
      <c r="H108" s="215"/>
      <c r="I108" s="271"/>
      <c r="J108" s="272"/>
      <c r="K108" s="215"/>
      <c r="L108" s="217"/>
      <c r="M108" s="217"/>
    </row>
    <row r="109" spans="1:13" ht="35.1" customHeight="1" x14ac:dyDescent="0.25">
      <c r="A109" s="206"/>
      <c r="B109" s="203"/>
      <c r="C109" s="198"/>
      <c r="D109" s="209">
        <f t="shared" si="2"/>
        <v>0</v>
      </c>
      <c r="E109" s="220"/>
      <c r="F109" s="212"/>
      <c r="G109" s="215"/>
      <c r="H109" s="215"/>
      <c r="I109" s="271"/>
      <c r="J109" s="272"/>
      <c r="K109" s="215"/>
      <c r="L109" s="217"/>
      <c r="M109" s="217"/>
    </row>
    <row r="110" spans="1:13" ht="35.1" customHeight="1" x14ac:dyDescent="0.25">
      <c r="A110" s="206"/>
      <c r="B110" s="203"/>
      <c r="C110" s="198"/>
      <c r="D110" s="209">
        <f t="shared" si="2"/>
        <v>0</v>
      </c>
      <c r="E110" s="220"/>
      <c r="F110" s="212"/>
      <c r="G110" s="215"/>
      <c r="H110" s="215"/>
      <c r="I110" s="271"/>
      <c r="J110" s="272"/>
      <c r="K110" s="215"/>
      <c r="L110" s="217"/>
      <c r="M110" s="217"/>
    </row>
    <row r="111" spans="1:13" ht="35.1" customHeight="1" x14ac:dyDescent="0.25">
      <c r="A111" s="206"/>
      <c r="B111" s="203"/>
      <c r="C111" s="198"/>
      <c r="D111" s="209">
        <f t="shared" si="2"/>
        <v>0</v>
      </c>
      <c r="E111" s="220"/>
      <c r="F111" s="212"/>
      <c r="G111" s="215"/>
      <c r="H111" s="215"/>
      <c r="I111" s="271"/>
      <c r="J111" s="272"/>
      <c r="K111" s="215"/>
      <c r="L111" s="217"/>
      <c r="M111" s="217"/>
    </row>
    <row r="112" spans="1:13" ht="35.1" customHeight="1" x14ac:dyDescent="0.25">
      <c r="A112" s="206"/>
      <c r="B112" s="203"/>
      <c r="C112" s="198"/>
      <c r="D112" s="209">
        <f t="shared" si="2"/>
        <v>0</v>
      </c>
      <c r="E112" s="220"/>
      <c r="F112" s="212"/>
      <c r="G112" s="215"/>
      <c r="H112" s="215"/>
      <c r="I112" s="271"/>
      <c r="J112" s="272"/>
      <c r="K112" s="215"/>
      <c r="L112" s="217"/>
      <c r="M112" s="217"/>
    </row>
    <row r="113" spans="1:13" ht="35.1" customHeight="1" x14ac:dyDescent="0.25">
      <c r="A113" s="206"/>
      <c r="B113" s="203"/>
      <c r="C113" s="198"/>
      <c r="D113" s="209">
        <f t="shared" si="2"/>
        <v>0</v>
      </c>
      <c r="E113" s="220"/>
      <c r="F113" s="212"/>
      <c r="G113" s="215"/>
      <c r="H113" s="215"/>
      <c r="I113" s="271"/>
      <c r="J113" s="272"/>
      <c r="K113" s="215"/>
      <c r="L113" s="217"/>
      <c r="M113" s="217"/>
    </row>
    <row r="114" spans="1:13" ht="35.1" customHeight="1" x14ac:dyDescent="0.25">
      <c r="A114" s="206"/>
      <c r="B114" s="203"/>
      <c r="C114" s="198"/>
      <c r="D114" s="209">
        <f t="shared" si="2"/>
        <v>0</v>
      </c>
      <c r="E114" s="220"/>
      <c r="F114" s="212"/>
      <c r="G114" s="215"/>
      <c r="H114" s="215"/>
      <c r="I114" s="271"/>
      <c r="J114" s="272"/>
      <c r="K114" s="215"/>
      <c r="L114" s="217"/>
      <c r="M114" s="217"/>
    </row>
    <row r="115" spans="1:13" ht="35.1" customHeight="1" x14ac:dyDescent="0.25">
      <c r="A115" s="206"/>
      <c r="B115" s="203"/>
      <c r="C115" s="198"/>
      <c r="D115" s="209">
        <f t="shared" si="2"/>
        <v>0</v>
      </c>
      <c r="E115" s="220"/>
      <c r="F115" s="212"/>
      <c r="G115" s="215"/>
      <c r="H115" s="215"/>
      <c r="I115" s="271"/>
      <c r="J115" s="272"/>
      <c r="K115" s="215"/>
      <c r="L115" s="217"/>
      <c r="M115" s="217"/>
    </row>
    <row r="116" spans="1:13" ht="35.1" customHeight="1" x14ac:dyDescent="0.25">
      <c r="A116" s="206"/>
      <c r="B116" s="203"/>
      <c r="C116" s="198"/>
      <c r="D116" s="209">
        <f t="shared" si="2"/>
        <v>0</v>
      </c>
      <c r="E116" s="220"/>
      <c r="F116" s="212"/>
      <c r="G116" s="215"/>
      <c r="H116" s="215"/>
      <c r="I116" s="271"/>
      <c r="J116" s="272"/>
      <c r="K116" s="215"/>
      <c r="L116" s="217"/>
      <c r="M116" s="217"/>
    </row>
    <row r="117" spans="1:13" ht="35.1" customHeight="1" x14ac:dyDescent="0.25">
      <c r="A117" s="206"/>
      <c r="B117" s="203"/>
      <c r="C117" s="198"/>
      <c r="D117" s="209">
        <f t="shared" si="2"/>
        <v>0</v>
      </c>
      <c r="E117" s="220"/>
      <c r="F117" s="212"/>
      <c r="G117" s="215"/>
      <c r="H117" s="215"/>
      <c r="I117" s="271"/>
      <c r="J117" s="272"/>
      <c r="K117" s="215"/>
      <c r="L117" s="217"/>
      <c r="M117" s="217"/>
    </row>
    <row r="118" spans="1:13" ht="35.1" customHeight="1" x14ac:dyDescent="0.25">
      <c r="A118" s="206"/>
      <c r="B118" s="203"/>
      <c r="C118" s="198"/>
      <c r="D118" s="209">
        <f t="shared" si="2"/>
        <v>0</v>
      </c>
      <c r="E118" s="220"/>
      <c r="F118" s="212"/>
      <c r="G118" s="215"/>
      <c r="H118" s="215"/>
      <c r="I118" s="271"/>
      <c r="J118" s="272"/>
      <c r="K118" s="215"/>
      <c r="L118" s="217"/>
      <c r="M118" s="217"/>
    </row>
    <row r="119" spans="1:13" ht="35.1" customHeight="1" x14ac:dyDescent="0.25">
      <c r="A119" s="206"/>
      <c r="B119" s="203"/>
      <c r="C119" s="198"/>
      <c r="D119" s="209">
        <f t="shared" si="2"/>
        <v>0</v>
      </c>
      <c r="E119" s="220"/>
      <c r="F119" s="212"/>
      <c r="G119" s="215"/>
      <c r="H119" s="215"/>
      <c r="I119" s="271"/>
      <c r="J119" s="272"/>
      <c r="K119" s="215"/>
      <c r="L119" s="217"/>
      <c r="M119" s="217"/>
    </row>
    <row r="120" spans="1:13" ht="35.1" customHeight="1" x14ac:dyDescent="0.25">
      <c r="A120" s="206"/>
      <c r="B120" s="203"/>
      <c r="C120" s="198"/>
      <c r="D120" s="209">
        <f t="shared" si="2"/>
        <v>0</v>
      </c>
      <c r="E120" s="220"/>
      <c r="F120" s="212"/>
      <c r="G120" s="215"/>
      <c r="H120" s="215"/>
      <c r="I120" s="271"/>
      <c r="J120" s="272"/>
      <c r="K120" s="215"/>
      <c r="L120" s="217"/>
      <c r="M120" s="217"/>
    </row>
    <row r="121" spans="1:13" ht="35.1" customHeight="1" x14ac:dyDescent="0.25">
      <c r="A121" s="206"/>
      <c r="B121" s="203"/>
      <c r="C121" s="198"/>
      <c r="D121" s="209">
        <f t="shared" si="2"/>
        <v>0</v>
      </c>
      <c r="E121" s="220"/>
      <c r="F121" s="212"/>
      <c r="G121" s="215"/>
      <c r="H121" s="215"/>
      <c r="I121" s="271"/>
      <c r="J121" s="272"/>
      <c r="K121" s="215"/>
      <c r="L121" s="217"/>
      <c r="M121" s="217"/>
    </row>
    <row r="122" spans="1:13" ht="35.1" customHeight="1" x14ac:dyDescent="0.25">
      <c r="A122" s="206"/>
      <c r="B122" s="203"/>
      <c r="C122" s="198"/>
      <c r="D122" s="209">
        <f t="shared" si="2"/>
        <v>0</v>
      </c>
      <c r="E122" s="220"/>
      <c r="F122" s="212"/>
      <c r="G122" s="215"/>
      <c r="H122" s="215"/>
      <c r="I122" s="271"/>
      <c r="J122" s="272"/>
      <c r="K122" s="215"/>
      <c r="L122" s="217"/>
      <c r="M122" s="217"/>
    </row>
    <row r="123" spans="1:13" ht="35.1" customHeight="1" x14ac:dyDescent="0.25">
      <c r="A123" s="206"/>
      <c r="B123" s="203"/>
      <c r="C123" s="198"/>
      <c r="D123" s="209">
        <f t="shared" si="2"/>
        <v>0</v>
      </c>
      <c r="E123" s="220"/>
      <c r="F123" s="212"/>
      <c r="G123" s="215"/>
      <c r="H123" s="215"/>
      <c r="I123" s="271"/>
      <c r="J123" s="272"/>
      <c r="K123" s="215"/>
      <c r="L123" s="217"/>
      <c r="M123" s="217"/>
    </row>
    <row r="124" spans="1:13" ht="35.1" customHeight="1" x14ac:dyDescent="0.25">
      <c r="A124" s="206"/>
      <c r="B124" s="203"/>
      <c r="C124" s="198"/>
      <c r="D124" s="209">
        <f t="shared" si="2"/>
        <v>0</v>
      </c>
      <c r="E124" s="220"/>
      <c r="F124" s="212"/>
      <c r="G124" s="215"/>
      <c r="H124" s="215"/>
      <c r="I124" s="271"/>
      <c r="J124" s="272"/>
      <c r="K124" s="215"/>
      <c r="L124" s="217"/>
      <c r="M124" s="217"/>
    </row>
    <row r="125" spans="1:13" ht="35.1" customHeight="1" x14ac:dyDescent="0.25">
      <c r="A125" s="206"/>
      <c r="B125" s="203"/>
      <c r="C125" s="198"/>
      <c r="D125" s="209">
        <f t="shared" si="2"/>
        <v>0</v>
      </c>
      <c r="E125" s="220"/>
      <c r="F125" s="212"/>
      <c r="G125" s="215"/>
      <c r="H125" s="215"/>
      <c r="I125" s="271"/>
      <c r="J125" s="272"/>
      <c r="K125" s="215"/>
      <c r="L125" s="217"/>
      <c r="M125" s="217"/>
    </row>
    <row r="126" spans="1:13" ht="35.1" customHeight="1" x14ac:dyDescent="0.25">
      <c r="A126" s="206"/>
      <c r="B126" s="203"/>
      <c r="C126" s="198"/>
      <c r="D126" s="209">
        <f t="shared" si="2"/>
        <v>0</v>
      </c>
      <c r="E126" s="220"/>
      <c r="F126" s="212"/>
      <c r="G126" s="215"/>
      <c r="H126" s="215"/>
      <c r="I126" s="271"/>
      <c r="J126" s="272"/>
      <c r="K126" s="215"/>
      <c r="L126" s="217"/>
      <c r="M126" s="217"/>
    </row>
    <row r="127" spans="1:13" ht="35.1" customHeight="1" x14ac:dyDescent="0.25">
      <c r="A127" s="206"/>
      <c r="B127" s="203"/>
      <c r="C127" s="198"/>
      <c r="D127" s="209">
        <f t="shared" si="2"/>
        <v>0</v>
      </c>
      <c r="E127" s="220"/>
      <c r="F127" s="212"/>
      <c r="G127" s="215"/>
      <c r="H127" s="215"/>
      <c r="I127" s="271"/>
      <c r="J127" s="272"/>
      <c r="K127" s="215"/>
      <c r="L127" s="217"/>
      <c r="M127" s="217"/>
    </row>
    <row r="128" spans="1:13" ht="35.1" customHeight="1" x14ac:dyDescent="0.25">
      <c r="A128" s="206"/>
      <c r="B128" s="203"/>
      <c r="C128" s="198"/>
      <c r="D128" s="209">
        <f t="shared" si="2"/>
        <v>0</v>
      </c>
      <c r="E128" s="220"/>
      <c r="F128" s="212"/>
      <c r="G128" s="215"/>
      <c r="H128" s="215"/>
      <c r="I128" s="271"/>
      <c r="J128" s="272"/>
      <c r="K128" s="215"/>
      <c r="L128" s="217"/>
      <c r="M128" s="217"/>
    </row>
    <row r="129" spans="1:13" ht="35.1" customHeight="1" x14ac:dyDescent="0.25">
      <c r="A129" s="206"/>
      <c r="B129" s="203"/>
      <c r="C129" s="198"/>
      <c r="D129" s="209">
        <f t="shared" si="2"/>
        <v>0</v>
      </c>
      <c r="E129" s="220"/>
      <c r="F129" s="212"/>
      <c r="G129" s="215"/>
      <c r="H129" s="215"/>
      <c r="I129" s="271"/>
      <c r="J129" s="272"/>
      <c r="K129" s="215"/>
      <c r="L129" s="217"/>
      <c r="M129" s="217"/>
    </row>
    <row r="130" spans="1:13" ht="35.1" customHeight="1" x14ac:dyDescent="0.25">
      <c r="A130" s="206"/>
      <c r="B130" s="203"/>
      <c r="C130" s="198"/>
      <c r="D130" s="209">
        <f t="shared" si="2"/>
        <v>0</v>
      </c>
      <c r="E130" s="220"/>
      <c r="F130" s="212"/>
      <c r="G130" s="215"/>
      <c r="H130" s="215"/>
      <c r="I130" s="271"/>
      <c r="J130" s="272"/>
      <c r="K130" s="215"/>
      <c r="L130" s="217"/>
      <c r="M130" s="217"/>
    </row>
    <row r="131" spans="1:13" ht="35.1" customHeight="1" x14ac:dyDescent="0.25">
      <c r="A131" s="206"/>
      <c r="B131" s="203"/>
      <c r="C131" s="198"/>
      <c r="D131" s="209">
        <f t="shared" si="2"/>
        <v>0</v>
      </c>
      <c r="E131" s="220"/>
      <c r="F131" s="212"/>
      <c r="G131" s="215"/>
      <c r="H131" s="215"/>
      <c r="I131" s="271"/>
      <c r="J131" s="272"/>
      <c r="K131" s="215"/>
      <c r="L131" s="217"/>
      <c r="M131" s="217"/>
    </row>
    <row r="132" spans="1:13" ht="35.1" customHeight="1" x14ac:dyDescent="0.25">
      <c r="A132" s="206"/>
      <c r="B132" s="203"/>
      <c r="C132" s="198"/>
      <c r="D132" s="209">
        <f t="shared" si="2"/>
        <v>0</v>
      </c>
      <c r="E132" s="220"/>
      <c r="F132" s="212"/>
      <c r="G132" s="215"/>
      <c r="H132" s="215"/>
      <c r="I132" s="271"/>
      <c r="J132" s="272"/>
      <c r="K132" s="215"/>
      <c r="L132" s="217"/>
      <c r="M132" s="217"/>
    </row>
    <row r="133" spans="1:13" ht="35.1" customHeight="1" x14ac:dyDescent="0.25">
      <c r="A133" s="206"/>
      <c r="B133" s="203"/>
      <c r="C133" s="198"/>
      <c r="D133" s="209">
        <f t="shared" si="2"/>
        <v>0</v>
      </c>
      <c r="E133" s="220"/>
      <c r="F133" s="212"/>
      <c r="G133" s="215"/>
      <c r="H133" s="215"/>
      <c r="I133" s="271"/>
      <c r="J133" s="272"/>
      <c r="K133" s="215"/>
      <c r="L133" s="217"/>
      <c r="M133" s="217"/>
    </row>
    <row r="134" spans="1:13" ht="35.1" customHeight="1" x14ac:dyDescent="0.25">
      <c r="A134" s="206"/>
      <c r="B134" s="203"/>
      <c r="C134" s="198"/>
      <c r="D134" s="209">
        <f t="shared" si="2"/>
        <v>0</v>
      </c>
      <c r="E134" s="220"/>
      <c r="F134" s="212"/>
      <c r="G134" s="215"/>
      <c r="H134" s="215"/>
      <c r="I134" s="271"/>
      <c r="J134" s="272"/>
      <c r="K134" s="215"/>
      <c r="L134" s="217"/>
      <c r="M134" s="217"/>
    </row>
    <row r="135" spans="1:13" ht="35.1" customHeight="1" x14ac:dyDescent="0.25">
      <c r="A135" s="206"/>
      <c r="B135" s="203"/>
      <c r="C135" s="198"/>
      <c r="D135" s="209">
        <f t="shared" si="2"/>
        <v>0</v>
      </c>
      <c r="E135" s="220"/>
      <c r="F135" s="212"/>
      <c r="G135" s="215"/>
      <c r="H135" s="215"/>
      <c r="I135" s="271"/>
      <c r="J135" s="272"/>
      <c r="K135" s="215"/>
      <c r="L135" s="217"/>
      <c r="M135" s="217"/>
    </row>
    <row r="136" spans="1:13" ht="35.1" customHeight="1" x14ac:dyDescent="0.25">
      <c r="A136" s="206"/>
      <c r="B136" s="203"/>
      <c r="C136" s="198"/>
      <c r="D136" s="209">
        <f t="shared" si="2"/>
        <v>0</v>
      </c>
      <c r="E136" s="220"/>
      <c r="F136" s="212"/>
      <c r="G136" s="215"/>
      <c r="H136" s="215"/>
      <c r="I136" s="271"/>
      <c r="J136" s="272"/>
      <c r="K136" s="215"/>
      <c r="L136" s="217"/>
      <c r="M136" s="217"/>
    </row>
    <row r="137" spans="1:13" ht="35.1" customHeight="1" x14ac:dyDescent="0.25">
      <c r="A137" s="206"/>
      <c r="B137" s="203"/>
      <c r="C137" s="198"/>
      <c r="D137" s="209">
        <f t="shared" si="2"/>
        <v>0</v>
      </c>
      <c r="E137" s="220"/>
      <c r="F137" s="212"/>
      <c r="G137" s="215"/>
      <c r="H137" s="215"/>
      <c r="I137" s="271"/>
      <c r="J137" s="272"/>
      <c r="K137" s="215"/>
      <c r="L137" s="217"/>
      <c r="M137" s="217"/>
    </row>
    <row r="138" spans="1:13" ht="35.1" customHeight="1" x14ac:dyDescent="0.25">
      <c r="A138" s="206"/>
      <c r="B138" s="203"/>
      <c r="C138" s="198"/>
      <c r="D138" s="209">
        <f t="shared" si="2"/>
        <v>0</v>
      </c>
      <c r="E138" s="220"/>
      <c r="F138" s="212"/>
      <c r="G138" s="215"/>
      <c r="H138" s="215"/>
      <c r="I138" s="271"/>
      <c r="J138" s="272"/>
      <c r="K138" s="215"/>
      <c r="L138" s="217"/>
      <c r="M138" s="217"/>
    </row>
    <row r="139" spans="1:13" ht="35.1" customHeight="1" x14ac:dyDescent="0.25">
      <c r="A139" s="206"/>
      <c r="B139" s="203"/>
      <c r="C139" s="198"/>
      <c r="D139" s="209">
        <f t="shared" si="2"/>
        <v>0</v>
      </c>
      <c r="E139" s="220"/>
      <c r="F139" s="212"/>
      <c r="G139" s="215"/>
      <c r="H139" s="215"/>
      <c r="I139" s="271"/>
      <c r="J139" s="272"/>
      <c r="K139" s="215"/>
      <c r="L139" s="217"/>
      <c r="M139" s="217"/>
    </row>
    <row r="140" spans="1:13" ht="35.1" customHeight="1" x14ac:dyDescent="0.25">
      <c r="A140" s="206"/>
      <c r="B140" s="203"/>
      <c r="C140" s="198"/>
      <c r="D140" s="209">
        <f t="shared" si="2"/>
        <v>0</v>
      </c>
      <c r="E140" s="220"/>
      <c r="F140" s="212"/>
      <c r="G140" s="215"/>
      <c r="H140" s="215"/>
      <c r="I140" s="271"/>
      <c r="J140" s="272"/>
      <c r="K140" s="215"/>
      <c r="L140" s="217"/>
      <c r="M140" s="217"/>
    </row>
    <row r="141" spans="1:13" ht="35.1" customHeight="1" x14ac:dyDescent="0.25">
      <c r="A141" s="206"/>
      <c r="B141" s="203"/>
      <c r="C141" s="198"/>
      <c r="D141" s="209">
        <f t="shared" si="2"/>
        <v>0</v>
      </c>
      <c r="E141" s="220"/>
      <c r="F141" s="212"/>
      <c r="G141" s="215"/>
      <c r="H141" s="215"/>
      <c r="I141" s="271"/>
      <c r="J141" s="272"/>
      <c r="K141" s="215"/>
      <c r="L141" s="217"/>
      <c r="M141" s="217"/>
    </row>
    <row r="142" spans="1:13" ht="35.1" customHeight="1" x14ac:dyDescent="0.25">
      <c r="A142" s="206"/>
      <c r="B142" s="203"/>
      <c r="C142" s="198"/>
      <c r="D142" s="209">
        <f t="shared" si="2"/>
        <v>0</v>
      </c>
      <c r="E142" s="220"/>
      <c r="F142" s="212"/>
      <c r="G142" s="215"/>
      <c r="H142" s="215"/>
      <c r="I142" s="271"/>
      <c r="J142" s="272"/>
      <c r="K142" s="215"/>
      <c r="L142" s="217"/>
      <c r="M142" s="217"/>
    </row>
    <row r="143" spans="1:13" ht="35.1" customHeight="1" x14ac:dyDescent="0.25">
      <c r="A143" s="206"/>
      <c r="B143" s="203"/>
      <c r="C143" s="198"/>
      <c r="D143" s="209">
        <f t="shared" si="2"/>
        <v>0</v>
      </c>
      <c r="E143" s="220"/>
      <c r="F143" s="212"/>
      <c r="G143" s="215"/>
      <c r="H143" s="215"/>
      <c r="I143" s="271"/>
      <c r="J143" s="272"/>
      <c r="K143" s="215"/>
      <c r="L143" s="217"/>
      <c r="M143" s="217"/>
    </row>
    <row r="144" spans="1:13" ht="35.1" customHeight="1" x14ac:dyDescent="0.25">
      <c r="A144" s="206"/>
      <c r="B144" s="203"/>
      <c r="C144" s="198"/>
      <c r="D144" s="209">
        <f t="shared" si="2"/>
        <v>0</v>
      </c>
      <c r="E144" s="220"/>
      <c r="F144" s="212"/>
      <c r="G144" s="215"/>
      <c r="H144" s="215"/>
      <c r="I144" s="271"/>
      <c r="J144" s="272"/>
      <c r="K144" s="215"/>
      <c r="L144" s="217"/>
      <c r="M144" s="217"/>
    </row>
    <row r="145" spans="1:13" ht="35.1" customHeight="1" x14ac:dyDescent="0.25">
      <c r="A145" s="206"/>
      <c r="B145" s="203"/>
      <c r="C145" s="198"/>
      <c r="D145" s="209">
        <f t="shared" si="2"/>
        <v>0</v>
      </c>
      <c r="E145" s="220"/>
      <c r="F145" s="212"/>
      <c r="G145" s="215"/>
      <c r="H145" s="215"/>
      <c r="I145" s="271"/>
      <c r="J145" s="272"/>
      <c r="K145" s="215"/>
      <c r="L145" s="217"/>
      <c r="M145" s="217"/>
    </row>
    <row r="146" spans="1:13" ht="35.1" customHeight="1" x14ac:dyDescent="0.25">
      <c r="A146" s="206"/>
      <c r="B146" s="203"/>
      <c r="C146" s="198"/>
      <c r="D146" s="209">
        <f t="shared" si="2"/>
        <v>0</v>
      </c>
      <c r="E146" s="220"/>
      <c r="F146" s="212"/>
      <c r="G146" s="215"/>
      <c r="H146" s="215"/>
      <c r="I146" s="271"/>
      <c r="J146" s="272"/>
      <c r="K146" s="215"/>
      <c r="L146" s="217"/>
      <c r="M146" s="217"/>
    </row>
    <row r="147" spans="1:13" ht="35.1" customHeight="1" x14ac:dyDescent="0.25">
      <c r="A147" s="206"/>
      <c r="B147" s="203"/>
      <c r="C147" s="198"/>
      <c r="D147" s="209">
        <f t="shared" si="2"/>
        <v>0</v>
      </c>
      <c r="E147" s="220"/>
      <c r="F147" s="212"/>
      <c r="G147" s="215"/>
      <c r="H147" s="215"/>
      <c r="I147" s="271"/>
      <c r="J147" s="272"/>
      <c r="K147" s="215"/>
      <c r="L147" s="217"/>
      <c r="M147" s="217"/>
    </row>
    <row r="148" spans="1:13" ht="35.1" customHeight="1" x14ac:dyDescent="0.25">
      <c r="A148" s="206"/>
      <c r="B148" s="203"/>
      <c r="C148" s="198"/>
      <c r="D148" s="209">
        <f t="shared" si="2"/>
        <v>0</v>
      </c>
      <c r="E148" s="220"/>
      <c r="F148" s="212"/>
      <c r="G148" s="215"/>
      <c r="H148" s="215"/>
      <c r="I148" s="271"/>
      <c r="J148" s="272"/>
      <c r="K148" s="215"/>
      <c r="L148" s="217"/>
      <c r="M148" s="217"/>
    </row>
    <row r="149" spans="1:13" ht="35.1" customHeight="1" x14ac:dyDescent="0.25">
      <c r="A149" s="206"/>
      <c r="B149" s="203"/>
      <c r="C149" s="198"/>
      <c r="D149" s="209">
        <f t="shared" si="2"/>
        <v>0</v>
      </c>
      <c r="E149" s="220"/>
      <c r="F149" s="212"/>
      <c r="G149" s="215"/>
      <c r="H149" s="215"/>
      <c r="I149" s="271"/>
      <c r="J149" s="272"/>
      <c r="K149" s="215"/>
      <c r="L149" s="217"/>
      <c r="M149" s="217"/>
    </row>
    <row r="150" spans="1:13" ht="35.1" customHeight="1" x14ac:dyDescent="0.25">
      <c r="A150" s="206"/>
      <c r="B150" s="203"/>
      <c r="C150" s="198"/>
      <c r="D150" s="209">
        <f t="shared" si="2"/>
        <v>0</v>
      </c>
      <c r="E150" s="220"/>
      <c r="F150" s="212"/>
      <c r="G150" s="215"/>
      <c r="H150" s="215"/>
      <c r="I150" s="271"/>
      <c r="J150" s="272"/>
      <c r="K150" s="215"/>
      <c r="L150" s="217"/>
      <c r="M150" s="217"/>
    </row>
    <row r="151" spans="1:13" ht="35.1" customHeight="1" x14ac:dyDescent="0.25">
      <c r="A151" s="206"/>
      <c r="B151" s="203"/>
      <c r="C151" s="198"/>
      <c r="D151" s="209">
        <f t="shared" si="2"/>
        <v>0</v>
      </c>
      <c r="E151" s="220"/>
      <c r="F151" s="212"/>
      <c r="G151" s="215"/>
      <c r="H151" s="215"/>
      <c r="I151" s="271"/>
      <c r="J151" s="272"/>
      <c r="K151" s="215"/>
      <c r="L151" s="217"/>
      <c r="M151" s="217"/>
    </row>
    <row r="152" spans="1:13" ht="35.1" customHeight="1" x14ac:dyDescent="0.25">
      <c r="A152" s="206"/>
      <c r="B152" s="203"/>
      <c r="C152" s="198"/>
      <c r="D152" s="209">
        <f t="shared" si="2"/>
        <v>0</v>
      </c>
      <c r="E152" s="220"/>
      <c r="F152" s="212"/>
      <c r="G152" s="215"/>
      <c r="H152" s="215"/>
      <c r="I152" s="271"/>
      <c r="J152" s="272"/>
      <c r="K152" s="215"/>
      <c r="L152" s="217"/>
      <c r="M152" s="217"/>
    </row>
    <row r="153" spans="1:13" ht="35.1" customHeight="1" x14ac:dyDescent="0.25">
      <c r="A153" s="206"/>
      <c r="B153" s="203"/>
      <c r="C153" s="198"/>
      <c r="D153" s="209">
        <f t="shared" si="2"/>
        <v>0</v>
      </c>
      <c r="E153" s="220"/>
      <c r="F153" s="212"/>
      <c r="G153" s="215"/>
      <c r="H153" s="215"/>
      <c r="I153" s="271"/>
      <c r="J153" s="272"/>
      <c r="K153" s="215"/>
      <c r="L153" s="217"/>
      <c r="M153" s="217"/>
    </row>
    <row r="154" spans="1:13" ht="35.1" customHeight="1" x14ac:dyDescent="0.25">
      <c r="A154" s="206"/>
      <c r="B154" s="203"/>
      <c r="C154" s="198"/>
      <c r="D154" s="209">
        <f t="shared" si="2"/>
        <v>0</v>
      </c>
      <c r="E154" s="220"/>
      <c r="F154" s="212"/>
      <c r="G154" s="215"/>
      <c r="H154" s="215"/>
      <c r="I154" s="271"/>
      <c r="J154" s="272"/>
      <c r="K154" s="215"/>
      <c r="L154" s="217"/>
      <c r="M154" s="217"/>
    </row>
    <row r="155" spans="1:13" ht="35.1" customHeight="1" x14ac:dyDescent="0.25">
      <c r="A155" s="205"/>
      <c r="B155" s="202"/>
      <c r="C155" s="201"/>
      <c r="D155" s="208">
        <f t="shared" si="2"/>
        <v>0</v>
      </c>
      <c r="E155" s="219"/>
      <c r="F155" s="211"/>
      <c r="G155" s="214"/>
      <c r="H155" s="214"/>
      <c r="I155" s="273"/>
      <c r="J155" s="274"/>
      <c r="K155" s="214"/>
      <c r="L155" s="216"/>
      <c r="M155" s="216"/>
    </row>
    <row r="156" spans="1:13" ht="35.1" customHeight="1" x14ac:dyDescent="0.25">
      <c r="A156" s="206"/>
      <c r="B156" s="203"/>
      <c r="C156" s="198"/>
      <c r="D156" s="209">
        <f t="shared" si="2"/>
        <v>0</v>
      </c>
      <c r="E156" s="220"/>
      <c r="F156" s="212"/>
      <c r="G156" s="215"/>
      <c r="H156" s="215"/>
      <c r="I156" s="271"/>
      <c r="J156" s="272"/>
      <c r="K156" s="215"/>
      <c r="L156" s="217"/>
      <c r="M156" s="217"/>
    </row>
    <row r="157" spans="1:13" ht="35.1" customHeight="1" x14ac:dyDescent="0.25">
      <c r="A157" s="206"/>
      <c r="B157" s="203"/>
      <c r="C157" s="198"/>
      <c r="D157" s="209">
        <f t="shared" si="2"/>
        <v>0</v>
      </c>
      <c r="E157" s="220"/>
      <c r="F157" s="212"/>
      <c r="G157" s="215"/>
      <c r="H157" s="215"/>
      <c r="I157" s="271"/>
      <c r="J157" s="272"/>
      <c r="K157" s="215"/>
      <c r="L157" s="217"/>
      <c r="M157" s="217"/>
    </row>
    <row r="158" spans="1:13" ht="35.1" customHeight="1" x14ac:dyDescent="0.25">
      <c r="A158" s="206"/>
      <c r="B158" s="203"/>
      <c r="C158" s="198"/>
      <c r="D158" s="209">
        <f t="shared" si="2"/>
        <v>0</v>
      </c>
      <c r="E158" s="220"/>
      <c r="F158" s="212"/>
      <c r="G158" s="215"/>
      <c r="H158" s="215"/>
      <c r="I158" s="271"/>
      <c r="J158" s="272"/>
      <c r="K158" s="215"/>
      <c r="L158" s="217"/>
      <c r="M158" s="217"/>
    </row>
    <row r="159" spans="1:13" ht="35.1" customHeight="1" x14ac:dyDescent="0.25">
      <c r="A159" s="206"/>
      <c r="B159" s="203"/>
      <c r="C159" s="198"/>
      <c r="D159" s="209">
        <f t="shared" si="2"/>
        <v>0</v>
      </c>
      <c r="E159" s="220"/>
      <c r="F159" s="212"/>
      <c r="G159" s="215"/>
      <c r="H159" s="215"/>
      <c r="I159" s="271"/>
      <c r="J159" s="272"/>
      <c r="K159" s="215"/>
      <c r="L159" s="217"/>
      <c r="M159" s="217"/>
    </row>
    <row r="160" spans="1:13" ht="35.1" customHeight="1" x14ac:dyDescent="0.25">
      <c r="A160" s="206"/>
      <c r="B160" s="203"/>
      <c r="C160" s="198"/>
      <c r="D160" s="209">
        <f t="shared" si="2"/>
        <v>0</v>
      </c>
      <c r="E160" s="220"/>
      <c r="F160" s="212"/>
      <c r="G160" s="215"/>
      <c r="H160" s="215"/>
      <c r="I160" s="271"/>
      <c r="J160" s="272"/>
      <c r="K160" s="215"/>
      <c r="L160" s="217"/>
      <c r="M160" s="217"/>
    </row>
    <row r="161" spans="1:13" ht="35.1" customHeight="1" x14ac:dyDescent="0.25">
      <c r="A161" s="206"/>
      <c r="B161" s="203"/>
      <c r="C161" s="198"/>
      <c r="D161" s="209">
        <f t="shared" si="2"/>
        <v>0</v>
      </c>
      <c r="E161" s="220"/>
      <c r="F161" s="212"/>
      <c r="G161" s="215"/>
      <c r="H161" s="215"/>
      <c r="I161" s="271"/>
      <c r="J161" s="272"/>
      <c r="K161" s="215"/>
      <c r="L161" s="217"/>
      <c r="M161" s="217"/>
    </row>
    <row r="162" spans="1:13" ht="35.1" customHeight="1" x14ac:dyDescent="0.25">
      <c r="A162" s="206"/>
      <c r="B162" s="203"/>
      <c r="C162" s="198"/>
      <c r="D162" s="209">
        <f t="shared" si="2"/>
        <v>0</v>
      </c>
      <c r="E162" s="220"/>
      <c r="F162" s="212"/>
      <c r="G162" s="215"/>
      <c r="H162" s="215"/>
      <c r="I162" s="271"/>
      <c r="J162" s="272"/>
      <c r="K162" s="215"/>
      <c r="L162" s="217"/>
      <c r="M162" s="217"/>
    </row>
    <row r="163" spans="1:13" ht="35.1" customHeight="1" x14ac:dyDescent="0.25">
      <c r="A163" s="206"/>
      <c r="B163" s="203"/>
      <c r="C163" s="198"/>
      <c r="D163" s="209">
        <f t="shared" si="2"/>
        <v>0</v>
      </c>
      <c r="E163" s="220"/>
      <c r="F163" s="212"/>
      <c r="G163" s="215"/>
      <c r="H163" s="215"/>
      <c r="I163" s="271"/>
      <c r="J163" s="272"/>
      <c r="K163" s="215"/>
      <c r="L163" s="217"/>
      <c r="M163" s="217"/>
    </row>
    <row r="164" spans="1:13" ht="35.1" customHeight="1" x14ac:dyDescent="0.25">
      <c r="A164" s="206"/>
      <c r="B164" s="203"/>
      <c r="C164" s="198"/>
      <c r="D164" s="209">
        <f t="shared" si="2"/>
        <v>0</v>
      </c>
      <c r="E164" s="220"/>
      <c r="F164" s="212"/>
      <c r="G164" s="215"/>
      <c r="H164" s="215"/>
      <c r="I164" s="271"/>
      <c r="J164" s="272"/>
      <c r="K164" s="215"/>
      <c r="L164" s="217"/>
      <c r="M164" s="217"/>
    </row>
    <row r="165" spans="1:13" ht="35.1" customHeight="1" x14ac:dyDescent="0.25">
      <c r="A165" s="206"/>
      <c r="B165" s="203"/>
      <c r="C165" s="198"/>
      <c r="D165" s="209">
        <f t="shared" si="2"/>
        <v>0</v>
      </c>
      <c r="E165" s="220"/>
      <c r="F165" s="212"/>
      <c r="G165" s="215"/>
      <c r="H165" s="215"/>
      <c r="I165" s="271"/>
      <c r="J165" s="272"/>
      <c r="K165" s="215"/>
      <c r="L165" s="217"/>
      <c r="M165" s="217"/>
    </row>
    <row r="166" spans="1:13" ht="35.1" customHeight="1" x14ac:dyDescent="0.25">
      <c r="A166" s="206"/>
      <c r="B166" s="203"/>
      <c r="C166" s="198"/>
      <c r="D166" s="209">
        <f t="shared" si="2"/>
        <v>0</v>
      </c>
      <c r="E166" s="220"/>
      <c r="F166" s="212"/>
      <c r="G166" s="215"/>
      <c r="H166" s="215"/>
      <c r="I166" s="271"/>
      <c r="J166" s="272"/>
      <c r="K166" s="215"/>
      <c r="L166" s="217"/>
      <c r="M166" s="217"/>
    </row>
    <row r="167" spans="1:13" ht="35.1" customHeight="1" x14ac:dyDescent="0.25">
      <c r="A167" s="206"/>
      <c r="B167" s="203"/>
      <c r="C167" s="198"/>
      <c r="D167" s="209">
        <f t="shared" ref="D167:D230" si="3">C167-B167</f>
        <v>0</v>
      </c>
      <c r="E167" s="220"/>
      <c r="F167" s="212"/>
      <c r="G167" s="215"/>
      <c r="H167" s="215"/>
      <c r="I167" s="271"/>
      <c r="J167" s="272"/>
      <c r="K167" s="215"/>
      <c r="L167" s="217"/>
      <c r="M167" s="217"/>
    </row>
    <row r="168" spans="1:13" ht="35.1" customHeight="1" x14ac:dyDescent="0.25">
      <c r="A168" s="206"/>
      <c r="B168" s="203"/>
      <c r="C168" s="198"/>
      <c r="D168" s="209">
        <f t="shared" si="3"/>
        <v>0</v>
      </c>
      <c r="E168" s="220"/>
      <c r="F168" s="212"/>
      <c r="G168" s="215"/>
      <c r="H168" s="215"/>
      <c r="I168" s="271"/>
      <c r="J168" s="272"/>
      <c r="K168" s="215"/>
      <c r="L168" s="217"/>
      <c r="M168" s="217"/>
    </row>
    <row r="169" spans="1:13" ht="35.1" customHeight="1" x14ac:dyDescent="0.25">
      <c r="A169" s="206"/>
      <c r="B169" s="203"/>
      <c r="C169" s="198"/>
      <c r="D169" s="209">
        <f t="shared" si="3"/>
        <v>0</v>
      </c>
      <c r="E169" s="220"/>
      <c r="F169" s="212"/>
      <c r="G169" s="215"/>
      <c r="H169" s="215"/>
      <c r="I169" s="271"/>
      <c r="J169" s="272"/>
      <c r="K169" s="215"/>
      <c r="L169" s="217"/>
      <c r="M169" s="217"/>
    </row>
    <row r="170" spans="1:13" ht="35.1" customHeight="1" x14ac:dyDescent="0.25">
      <c r="A170" s="206"/>
      <c r="B170" s="203"/>
      <c r="C170" s="198"/>
      <c r="D170" s="209">
        <f t="shared" si="3"/>
        <v>0</v>
      </c>
      <c r="E170" s="220"/>
      <c r="F170" s="212"/>
      <c r="G170" s="215"/>
      <c r="H170" s="215"/>
      <c r="I170" s="271"/>
      <c r="J170" s="272"/>
      <c r="K170" s="215"/>
      <c r="L170" s="217"/>
      <c r="M170" s="217"/>
    </row>
    <row r="171" spans="1:13" ht="35.1" customHeight="1" x14ac:dyDescent="0.25">
      <c r="A171" s="206"/>
      <c r="B171" s="203"/>
      <c r="C171" s="198"/>
      <c r="D171" s="209">
        <f t="shared" si="3"/>
        <v>0</v>
      </c>
      <c r="E171" s="220"/>
      <c r="F171" s="212"/>
      <c r="G171" s="215"/>
      <c r="H171" s="215"/>
      <c r="I171" s="271"/>
      <c r="J171" s="272"/>
      <c r="K171" s="215"/>
      <c r="L171" s="217"/>
      <c r="M171" s="217"/>
    </row>
    <row r="172" spans="1:13" ht="35.1" customHeight="1" x14ac:dyDescent="0.25">
      <c r="A172" s="206"/>
      <c r="B172" s="203"/>
      <c r="C172" s="198"/>
      <c r="D172" s="209">
        <f t="shared" si="3"/>
        <v>0</v>
      </c>
      <c r="E172" s="220"/>
      <c r="F172" s="212"/>
      <c r="G172" s="215"/>
      <c r="H172" s="215"/>
      <c r="I172" s="271"/>
      <c r="J172" s="272"/>
      <c r="K172" s="215"/>
      <c r="L172" s="217"/>
      <c r="M172" s="217"/>
    </row>
    <row r="173" spans="1:13" ht="35.1" customHeight="1" x14ac:dyDescent="0.25">
      <c r="A173" s="206"/>
      <c r="B173" s="203"/>
      <c r="C173" s="198"/>
      <c r="D173" s="209">
        <f t="shared" si="3"/>
        <v>0</v>
      </c>
      <c r="E173" s="220"/>
      <c r="F173" s="212"/>
      <c r="G173" s="215"/>
      <c r="H173" s="215"/>
      <c r="I173" s="271"/>
      <c r="J173" s="272"/>
      <c r="K173" s="215"/>
      <c r="L173" s="217"/>
      <c r="M173" s="217"/>
    </row>
    <row r="174" spans="1:13" ht="35.1" customHeight="1" x14ac:dyDescent="0.25">
      <c r="A174" s="206"/>
      <c r="B174" s="203"/>
      <c r="C174" s="198"/>
      <c r="D174" s="209">
        <f t="shared" si="3"/>
        <v>0</v>
      </c>
      <c r="E174" s="220"/>
      <c r="F174" s="212"/>
      <c r="G174" s="215"/>
      <c r="H174" s="215"/>
      <c r="I174" s="271"/>
      <c r="J174" s="272"/>
      <c r="K174" s="215"/>
      <c r="L174" s="217"/>
      <c r="M174" s="217"/>
    </row>
    <row r="175" spans="1:13" ht="35.1" customHeight="1" x14ac:dyDescent="0.25">
      <c r="A175" s="206"/>
      <c r="B175" s="203"/>
      <c r="C175" s="198"/>
      <c r="D175" s="209">
        <f t="shared" si="3"/>
        <v>0</v>
      </c>
      <c r="E175" s="220"/>
      <c r="F175" s="212"/>
      <c r="G175" s="215"/>
      <c r="H175" s="215"/>
      <c r="I175" s="271"/>
      <c r="J175" s="272"/>
      <c r="K175" s="215"/>
      <c r="L175" s="217"/>
      <c r="M175" s="217"/>
    </row>
    <row r="176" spans="1:13" ht="35.1" customHeight="1" x14ac:dyDescent="0.25">
      <c r="A176" s="206"/>
      <c r="B176" s="203"/>
      <c r="C176" s="198"/>
      <c r="D176" s="209">
        <f t="shared" si="3"/>
        <v>0</v>
      </c>
      <c r="E176" s="220"/>
      <c r="F176" s="212"/>
      <c r="G176" s="215"/>
      <c r="H176" s="215"/>
      <c r="I176" s="271"/>
      <c r="J176" s="272"/>
      <c r="K176" s="215"/>
      <c r="L176" s="217"/>
      <c r="M176" s="217"/>
    </row>
    <row r="177" spans="1:13" ht="35.1" customHeight="1" x14ac:dyDescent="0.25">
      <c r="A177" s="206"/>
      <c r="B177" s="203"/>
      <c r="C177" s="198"/>
      <c r="D177" s="209">
        <f t="shared" si="3"/>
        <v>0</v>
      </c>
      <c r="E177" s="220"/>
      <c r="F177" s="212"/>
      <c r="G177" s="215"/>
      <c r="H177" s="215"/>
      <c r="I177" s="271"/>
      <c r="J177" s="272"/>
      <c r="K177" s="215"/>
      <c r="L177" s="217"/>
      <c r="M177" s="217"/>
    </row>
    <row r="178" spans="1:13" ht="35.1" customHeight="1" x14ac:dyDescent="0.25">
      <c r="A178" s="206"/>
      <c r="B178" s="203"/>
      <c r="C178" s="198"/>
      <c r="D178" s="209">
        <f t="shared" si="3"/>
        <v>0</v>
      </c>
      <c r="E178" s="220"/>
      <c r="F178" s="212"/>
      <c r="G178" s="215"/>
      <c r="H178" s="215"/>
      <c r="I178" s="271"/>
      <c r="J178" s="272"/>
      <c r="K178" s="215"/>
      <c r="L178" s="217"/>
      <c r="M178" s="217"/>
    </row>
    <row r="179" spans="1:13" ht="35.1" customHeight="1" x14ac:dyDescent="0.25">
      <c r="A179" s="206"/>
      <c r="B179" s="203"/>
      <c r="C179" s="198"/>
      <c r="D179" s="209">
        <f t="shared" si="3"/>
        <v>0</v>
      </c>
      <c r="E179" s="220"/>
      <c r="F179" s="212"/>
      <c r="G179" s="215"/>
      <c r="H179" s="215"/>
      <c r="I179" s="271"/>
      <c r="J179" s="272"/>
      <c r="K179" s="215"/>
      <c r="L179" s="217"/>
      <c r="M179" s="217"/>
    </row>
    <row r="180" spans="1:13" ht="35.1" customHeight="1" x14ac:dyDescent="0.25">
      <c r="A180" s="206"/>
      <c r="B180" s="203"/>
      <c r="C180" s="198"/>
      <c r="D180" s="209">
        <f t="shared" si="3"/>
        <v>0</v>
      </c>
      <c r="E180" s="220"/>
      <c r="F180" s="212"/>
      <c r="G180" s="215"/>
      <c r="H180" s="215"/>
      <c r="I180" s="271"/>
      <c r="J180" s="272"/>
      <c r="K180" s="215"/>
      <c r="L180" s="217"/>
      <c r="M180" s="217"/>
    </row>
    <row r="181" spans="1:13" ht="35.1" customHeight="1" x14ac:dyDescent="0.25">
      <c r="A181" s="206"/>
      <c r="B181" s="203"/>
      <c r="C181" s="198"/>
      <c r="D181" s="209">
        <f t="shared" si="3"/>
        <v>0</v>
      </c>
      <c r="E181" s="220"/>
      <c r="F181" s="212"/>
      <c r="G181" s="215"/>
      <c r="H181" s="215"/>
      <c r="I181" s="271"/>
      <c r="J181" s="272"/>
      <c r="K181" s="215"/>
      <c r="L181" s="217"/>
      <c r="M181" s="217"/>
    </row>
    <row r="182" spans="1:13" ht="35.1" customHeight="1" x14ac:dyDescent="0.25">
      <c r="A182" s="206"/>
      <c r="B182" s="203"/>
      <c r="C182" s="198"/>
      <c r="D182" s="209">
        <f t="shared" si="3"/>
        <v>0</v>
      </c>
      <c r="E182" s="220"/>
      <c r="F182" s="212"/>
      <c r="G182" s="215"/>
      <c r="H182" s="215"/>
      <c r="I182" s="271"/>
      <c r="J182" s="272"/>
      <c r="K182" s="215"/>
      <c r="L182" s="217"/>
      <c r="M182" s="217"/>
    </row>
    <row r="183" spans="1:13" ht="35.1" customHeight="1" x14ac:dyDescent="0.25">
      <c r="A183" s="206"/>
      <c r="B183" s="203"/>
      <c r="C183" s="198"/>
      <c r="D183" s="209">
        <f t="shared" si="3"/>
        <v>0</v>
      </c>
      <c r="E183" s="220"/>
      <c r="F183" s="212"/>
      <c r="G183" s="215"/>
      <c r="H183" s="215"/>
      <c r="I183" s="271"/>
      <c r="J183" s="272"/>
      <c r="K183" s="215"/>
      <c r="L183" s="217"/>
      <c r="M183" s="217"/>
    </row>
    <row r="184" spans="1:13" ht="35.1" customHeight="1" x14ac:dyDescent="0.25">
      <c r="A184" s="206"/>
      <c r="B184" s="203"/>
      <c r="C184" s="198"/>
      <c r="D184" s="209">
        <f t="shared" si="3"/>
        <v>0</v>
      </c>
      <c r="E184" s="220"/>
      <c r="F184" s="212"/>
      <c r="G184" s="215"/>
      <c r="H184" s="215"/>
      <c r="I184" s="271"/>
      <c r="J184" s="272"/>
      <c r="K184" s="215"/>
      <c r="L184" s="217"/>
      <c r="M184" s="217"/>
    </row>
    <row r="185" spans="1:13" ht="35.1" customHeight="1" x14ac:dyDescent="0.25">
      <c r="A185" s="206"/>
      <c r="B185" s="203"/>
      <c r="C185" s="198"/>
      <c r="D185" s="209">
        <f t="shared" si="3"/>
        <v>0</v>
      </c>
      <c r="E185" s="220"/>
      <c r="F185" s="212"/>
      <c r="G185" s="215"/>
      <c r="H185" s="215"/>
      <c r="I185" s="271"/>
      <c r="J185" s="272"/>
      <c r="K185" s="215"/>
      <c r="L185" s="217"/>
      <c r="M185" s="217"/>
    </row>
    <row r="186" spans="1:13" ht="35.1" customHeight="1" x14ac:dyDescent="0.25">
      <c r="A186" s="206"/>
      <c r="B186" s="203"/>
      <c r="C186" s="198"/>
      <c r="D186" s="209">
        <f t="shared" si="3"/>
        <v>0</v>
      </c>
      <c r="E186" s="220"/>
      <c r="F186" s="212"/>
      <c r="G186" s="215"/>
      <c r="H186" s="215"/>
      <c r="I186" s="271"/>
      <c r="J186" s="272"/>
      <c r="K186" s="215"/>
      <c r="L186" s="217"/>
      <c r="M186" s="217"/>
    </row>
    <row r="187" spans="1:13" ht="35.1" customHeight="1" x14ac:dyDescent="0.25">
      <c r="A187" s="206"/>
      <c r="B187" s="203"/>
      <c r="C187" s="198"/>
      <c r="D187" s="209">
        <f t="shared" si="3"/>
        <v>0</v>
      </c>
      <c r="E187" s="220"/>
      <c r="F187" s="212"/>
      <c r="G187" s="215"/>
      <c r="H187" s="215"/>
      <c r="I187" s="271"/>
      <c r="J187" s="272"/>
      <c r="K187" s="215"/>
      <c r="L187" s="217"/>
      <c r="M187" s="217"/>
    </row>
    <row r="188" spans="1:13" ht="35.1" customHeight="1" x14ac:dyDescent="0.25">
      <c r="A188" s="206"/>
      <c r="B188" s="203"/>
      <c r="C188" s="198"/>
      <c r="D188" s="209">
        <f t="shared" si="3"/>
        <v>0</v>
      </c>
      <c r="E188" s="220"/>
      <c r="F188" s="212"/>
      <c r="G188" s="215"/>
      <c r="H188" s="215"/>
      <c r="I188" s="271"/>
      <c r="J188" s="272"/>
      <c r="K188" s="215"/>
      <c r="L188" s="217"/>
      <c r="M188" s="217"/>
    </row>
    <row r="189" spans="1:13" ht="35.1" customHeight="1" x14ac:dyDescent="0.25">
      <c r="A189" s="206"/>
      <c r="B189" s="203"/>
      <c r="C189" s="198"/>
      <c r="D189" s="209">
        <f t="shared" si="3"/>
        <v>0</v>
      </c>
      <c r="E189" s="220"/>
      <c r="F189" s="212"/>
      <c r="G189" s="215"/>
      <c r="H189" s="215"/>
      <c r="I189" s="271"/>
      <c r="J189" s="272"/>
      <c r="K189" s="215"/>
      <c r="L189" s="217"/>
      <c r="M189" s="217"/>
    </row>
    <row r="190" spans="1:13" ht="35.1" customHeight="1" x14ac:dyDescent="0.25">
      <c r="A190" s="206"/>
      <c r="B190" s="203"/>
      <c r="C190" s="198"/>
      <c r="D190" s="209">
        <f t="shared" si="3"/>
        <v>0</v>
      </c>
      <c r="E190" s="220"/>
      <c r="F190" s="212"/>
      <c r="G190" s="215"/>
      <c r="H190" s="215"/>
      <c r="I190" s="271"/>
      <c r="J190" s="272"/>
      <c r="K190" s="215"/>
      <c r="L190" s="217"/>
      <c r="M190" s="217"/>
    </row>
    <row r="191" spans="1:13" ht="35.1" customHeight="1" x14ac:dyDescent="0.25">
      <c r="A191" s="206"/>
      <c r="B191" s="203"/>
      <c r="C191" s="198"/>
      <c r="D191" s="209">
        <f t="shared" si="3"/>
        <v>0</v>
      </c>
      <c r="E191" s="220"/>
      <c r="F191" s="212"/>
      <c r="G191" s="215"/>
      <c r="H191" s="215"/>
      <c r="I191" s="271"/>
      <c r="J191" s="272"/>
      <c r="K191" s="215"/>
      <c r="L191" s="217"/>
      <c r="M191" s="217"/>
    </row>
    <row r="192" spans="1:13" ht="35.1" customHeight="1" x14ac:dyDescent="0.25">
      <c r="A192" s="206"/>
      <c r="B192" s="203"/>
      <c r="C192" s="198"/>
      <c r="D192" s="209">
        <f t="shared" si="3"/>
        <v>0</v>
      </c>
      <c r="E192" s="220"/>
      <c r="F192" s="212"/>
      <c r="G192" s="215"/>
      <c r="H192" s="215"/>
      <c r="I192" s="271"/>
      <c r="J192" s="272"/>
      <c r="K192" s="215"/>
      <c r="L192" s="217"/>
      <c r="M192" s="217"/>
    </row>
    <row r="193" spans="1:13" ht="35.1" customHeight="1" x14ac:dyDescent="0.25">
      <c r="A193" s="206"/>
      <c r="B193" s="203"/>
      <c r="C193" s="198"/>
      <c r="D193" s="209">
        <f t="shared" si="3"/>
        <v>0</v>
      </c>
      <c r="E193" s="220"/>
      <c r="F193" s="212"/>
      <c r="G193" s="215"/>
      <c r="H193" s="215"/>
      <c r="I193" s="271"/>
      <c r="J193" s="272"/>
      <c r="K193" s="215"/>
      <c r="L193" s="217"/>
      <c r="M193" s="217"/>
    </row>
    <row r="194" spans="1:13" ht="35.1" customHeight="1" x14ac:dyDescent="0.25">
      <c r="A194" s="206"/>
      <c r="B194" s="203"/>
      <c r="C194" s="198"/>
      <c r="D194" s="209">
        <f t="shared" si="3"/>
        <v>0</v>
      </c>
      <c r="E194" s="220"/>
      <c r="F194" s="212"/>
      <c r="G194" s="215"/>
      <c r="H194" s="215"/>
      <c r="I194" s="271"/>
      <c r="J194" s="272"/>
      <c r="K194" s="215"/>
      <c r="L194" s="217"/>
      <c r="M194" s="217"/>
    </row>
    <row r="195" spans="1:13" ht="35.1" customHeight="1" x14ac:dyDescent="0.25">
      <c r="A195" s="206"/>
      <c r="B195" s="203"/>
      <c r="C195" s="198"/>
      <c r="D195" s="209">
        <f t="shared" si="3"/>
        <v>0</v>
      </c>
      <c r="E195" s="220"/>
      <c r="F195" s="212"/>
      <c r="G195" s="215"/>
      <c r="H195" s="215"/>
      <c r="I195" s="271"/>
      <c r="J195" s="272"/>
      <c r="K195" s="215"/>
      <c r="L195" s="217"/>
      <c r="M195" s="217"/>
    </row>
    <row r="196" spans="1:13" ht="35.1" customHeight="1" x14ac:dyDescent="0.25">
      <c r="A196" s="206"/>
      <c r="B196" s="203"/>
      <c r="C196" s="198"/>
      <c r="D196" s="209">
        <f t="shared" si="3"/>
        <v>0</v>
      </c>
      <c r="E196" s="220"/>
      <c r="F196" s="212"/>
      <c r="G196" s="215"/>
      <c r="H196" s="215"/>
      <c r="I196" s="271"/>
      <c r="J196" s="272"/>
      <c r="K196" s="215"/>
      <c r="L196" s="217"/>
      <c r="M196" s="217"/>
    </row>
    <row r="197" spans="1:13" ht="35.1" customHeight="1" x14ac:dyDescent="0.25">
      <c r="A197" s="206"/>
      <c r="B197" s="203"/>
      <c r="C197" s="198"/>
      <c r="D197" s="209">
        <f t="shared" si="3"/>
        <v>0</v>
      </c>
      <c r="E197" s="220"/>
      <c r="F197" s="212"/>
      <c r="G197" s="215"/>
      <c r="H197" s="215"/>
      <c r="I197" s="271"/>
      <c r="J197" s="272"/>
      <c r="K197" s="215"/>
      <c r="L197" s="217"/>
      <c r="M197" s="217"/>
    </row>
    <row r="198" spans="1:13" ht="35.1" customHeight="1" x14ac:dyDescent="0.25">
      <c r="A198" s="206"/>
      <c r="B198" s="203"/>
      <c r="C198" s="198"/>
      <c r="D198" s="209">
        <f t="shared" si="3"/>
        <v>0</v>
      </c>
      <c r="E198" s="220"/>
      <c r="F198" s="212"/>
      <c r="G198" s="215"/>
      <c r="H198" s="215"/>
      <c r="I198" s="271"/>
      <c r="J198" s="272"/>
      <c r="K198" s="215"/>
      <c r="L198" s="217"/>
      <c r="M198" s="217"/>
    </row>
    <row r="199" spans="1:13" ht="35.1" customHeight="1" x14ac:dyDescent="0.25">
      <c r="A199" s="206"/>
      <c r="B199" s="203"/>
      <c r="C199" s="198"/>
      <c r="D199" s="209">
        <f t="shared" si="3"/>
        <v>0</v>
      </c>
      <c r="E199" s="220"/>
      <c r="F199" s="212"/>
      <c r="G199" s="215"/>
      <c r="H199" s="215"/>
      <c r="I199" s="271"/>
      <c r="J199" s="272"/>
      <c r="K199" s="215"/>
      <c r="L199" s="217"/>
      <c r="M199" s="217"/>
    </row>
    <row r="200" spans="1:13" ht="35.1" customHeight="1" x14ac:dyDescent="0.25">
      <c r="A200" s="206"/>
      <c r="B200" s="203"/>
      <c r="C200" s="198"/>
      <c r="D200" s="209">
        <f t="shared" si="3"/>
        <v>0</v>
      </c>
      <c r="E200" s="220"/>
      <c r="F200" s="212"/>
      <c r="G200" s="215"/>
      <c r="H200" s="215"/>
      <c r="I200" s="271"/>
      <c r="J200" s="272"/>
      <c r="K200" s="215"/>
      <c r="L200" s="217"/>
      <c r="M200" s="217"/>
    </row>
    <row r="201" spans="1:13" ht="35.1" customHeight="1" x14ac:dyDescent="0.25">
      <c r="A201" s="206"/>
      <c r="B201" s="203"/>
      <c r="C201" s="198"/>
      <c r="D201" s="209">
        <f t="shared" si="3"/>
        <v>0</v>
      </c>
      <c r="E201" s="220"/>
      <c r="F201" s="212"/>
      <c r="G201" s="215"/>
      <c r="H201" s="215"/>
      <c r="I201" s="271"/>
      <c r="J201" s="272"/>
      <c r="K201" s="215"/>
      <c r="L201" s="217"/>
      <c r="M201" s="217"/>
    </row>
    <row r="202" spans="1:13" ht="35.1" customHeight="1" x14ac:dyDescent="0.25">
      <c r="A202" s="206"/>
      <c r="B202" s="203"/>
      <c r="C202" s="198"/>
      <c r="D202" s="209">
        <f t="shared" si="3"/>
        <v>0</v>
      </c>
      <c r="E202" s="220"/>
      <c r="F202" s="212"/>
      <c r="G202" s="215"/>
      <c r="H202" s="215"/>
      <c r="I202" s="271"/>
      <c r="J202" s="272"/>
      <c r="K202" s="215"/>
      <c r="L202" s="217"/>
      <c r="M202" s="217"/>
    </row>
    <row r="203" spans="1:13" ht="35.1" customHeight="1" x14ac:dyDescent="0.25">
      <c r="A203" s="206"/>
      <c r="B203" s="203"/>
      <c r="C203" s="198"/>
      <c r="D203" s="209">
        <f t="shared" si="3"/>
        <v>0</v>
      </c>
      <c r="E203" s="220"/>
      <c r="F203" s="212"/>
      <c r="G203" s="215"/>
      <c r="H203" s="215"/>
      <c r="I203" s="271"/>
      <c r="J203" s="272"/>
      <c r="K203" s="215"/>
      <c r="L203" s="217"/>
      <c r="M203" s="217"/>
    </row>
    <row r="204" spans="1:13" ht="35.1" customHeight="1" x14ac:dyDescent="0.25">
      <c r="A204" s="206"/>
      <c r="B204" s="203"/>
      <c r="C204" s="198"/>
      <c r="D204" s="209">
        <f t="shared" si="3"/>
        <v>0</v>
      </c>
      <c r="E204" s="220"/>
      <c r="F204" s="212"/>
      <c r="G204" s="215"/>
      <c r="H204" s="215"/>
      <c r="I204" s="271"/>
      <c r="J204" s="272"/>
      <c r="K204" s="215"/>
      <c r="L204" s="217"/>
      <c r="M204" s="217"/>
    </row>
    <row r="205" spans="1:13" ht="35.1" customHeight="1" x14ac:dyDescent="0.25">
      <c r="A205" s="206"/>
      <c r="B205" s="203"/>
      <c r="C205" s="198"/>
      <c r="D205" s="209">
        <f t="shared" si="3"/>
        <v>0</v>
      </c>
      <c r="E205" s="220"/>
      <c r="F205" s="212"/>
      <c r="G205" s="215"/>
      <c r="H205" s="215"/>
      <c r="I205" s="271"/>
      <c r="J205" s="272"/>
      <c r="K205" s="215"/>
      <c r="L205" s="217"/>
      <c r="M205" s="217"/>
    </row>
    <row r="206" spans="1:13" ht="35.1" customHeight="1" x14ac:dyDescent="0.25">
      <c r="A206" s="206"/>
      <c r="B206" s="203"/>
      <c r="C206" s="198"/>
      <c r="D206" s="209">
        <f t="shared" si="3"/>
        <v>0</v>
      </c>
      <c r="E206" s="220"/>
      <c r="F206" s="212"/>
      <c r="G206" s="215"/>
      <c r="H206" s="215"/>
      <c r="I206" s="271"/>
      <c r="J206" s="272"/>
      <c r="K206" s="215"/>
      <c r="L206" s="217"/>
      <c r="M206" s="217"/>
    </row>
    <row r="207" spans="1:13" ht="35.1" customHeight="1" x14ac:dyDescent="0.25">
      <c r="A207" s="205"/>
      <c r="B207" s="202"/>
      <c r="C207" s="201"/>
      <c r="D207" s="208">
        <f t="shared" si="3"/>
        <v>0</v>
      </c>
      <c r="E207" s="219"/>
      <c r="F207" s="211"/>
      <c r="G207" s="214"/>
      <c r="H207" s="214"/>
      <c r="I207" s="273"/>
      <c r="J207" s="274"/>
      <c r="K207" s="214"/>
      <c r="L207" s="216"/>
      <c r="M207" s="216"/>
    </row>
    <row r="208" spans="1:13" ht="35.1" customHeight="1" x14ac:dyDescent="0.25">
      <c r="A208" s="206"/>
      <c r="B208" s="203"/>
      <c r="C208" s="198"/>
      <c r="D208" s="209">
        <f t="shared" si="3"/>
        <v>0</v>
      </c>
      <c r="E208" s="220"/>
      <c r="F208" s="212"/>
      <c r="G208" s="215"/>
      <c r="H208" s="215"/>
      <c r="I208" s="271"/>
      <c r="J208" s="272"/>
      <c r="K208" s="215"/>
      <c r="L208" s="217"/>
      <c r="M208" s="217"/>
    </row>
    <row r="209" spans="1:13" ht="35.1" customHeight="1" x14ac:dyDescent="0.25">
      <c r="A209" s="206"/>
      <c r="B209" s="203"/>
      <c r="C209" s="198"/>
      <c r="D209" s="209">
        <f t="shared" si="3"/>
        <v>0</v>
      </c>
      <c r="E209" s="220"/>
      <c r="F209" s="212"/>
      <c r="G209" s="215"/>
      <c r="H209" s="215"/>
      <c r="I209" s="271"/>
      <c r="J209" s="272"/>
      <c r="K209" s="215"/>
      <c r="L209" s="217"/>
      <c r="M209" s="217"/>
    </row>
    <row r="210" spans="1:13" ht="35.1" customHeight="1" x14ac:dyDescent="0.25">
      <c r="A210" s="206"/>
      <c r="B210" s="203"/>
      <c r="C210" s="198"/>
      <c r="D210" s="209">
        <f t="shared" si="3"/>
        <v>0</v>
      </c>
      <c r="E210" s="220"/>
      <c r="F210" s="212"/>
      <c r="G210" s="215"/>
      <c r="H210" s="215"/>
      <c r="I210" s="271"/>
      <c r="J210" s="272"/>
      <c r="K210" s="215"/>
      <c r="L210" s="217"/>
      <c r="M210" s="217"/>
    </row>
    <row r="211" spans="1:13" ht="35.1" customHeight="1" x14ac:dyDescent="0.25">
      <c r="A211" s="206"/>
      <c r="B211" s="203"/>
      <c r="C211" s="198"/>
      <c r="D211" s="209">
        <f t="shared" si="3"/>
        <v>0</v>
      </c>
      <c r="E211" s="220"/>
      <c r="F211" s="212"/>
      <c r="G211" s="215"/>
      <c r="H211" s="215"/>
      <c r="I211" s="271"/>
      <c r="J211" s="272"/>
      <c r="K211" s="215"/>
      <c r="L211" s="217"/>
      <c r="M211" s="217"/>
    </row>
    <row r="212" spans="1:13" ht="35.1" customHeight="1" x14ac:dyDescent="0.25">
      <c r="A212" s="206"/>
      <c r="B212" s="203"/>
      <c r="C212" s="198"/>
      <c r="D212" s="209">
        <f t="shared" si="3"/>
        <v>0</v>
      </c>
      <c r="E212" s="220"/>
      <c r="F212" s="212"/>
      <c r="G212" s="215"/>
      <c r="H212" s="215"/>
      <c r="I212" s="271"/>
      <c r="J212" s="272"/>
      <c r="K212" s="215"/>
      <c r="L212" s="217"/>
      <c r="M212" s="217"/>
    </row>
    <row r="213" spans="1:13" ht="35.1" customHeight="1" x14ac:dyDescent="0.25">
      <c r="A213" s="206"/>
      <c r="B213" s="203"/>
      <c r="C213" s="198"/>
      <c r="D213" s="209">
        <f t="shared" si="3"/>
        <v>0</v>
      </c>
      <c r="E213" s="220"/>
      <c r="F213" s="212"/>
      <c r="G213" s="215"/>
      <c r="H213" s="215"/>
      <c r="I213" s="271"/>
      <c r="J213" s="272"/>
      <c r="K213" s="215"/>
      <c r="L213" s="217"/>
      <c r="M213" s="217"/>
    </row>
    <row r="214" spans="1:13" ht="35.1" customHeight="1" x14ac:dyDescent="0.25">
      <c r="A214" s="206"/>
      <c r="B214" s="203"/>
      <c r="C214" s="198"/>
      <c r="D214" s="209">
        <f t="shared" si="3"/>
        <v>0</v>
      </c>
      <c r="E214" s="220"/>
      <c r="F214" s="212"/>
      <c r="G214" s="215"/>
      <c r="H214" s="215"/>
      <c r="I214" s="271"/>
      <c r="J214" s="272"/>
      <c r="K214" s="215"/>
      <c r="L214" s="217"/>
      <c r="M214" s="217"/>
    </row>
    <row r="215" spans="1:13" ht="35.1" customHeight="1" x14ac:dyDescent="0.25">
      <c r="A215" s="206"/>
      <c r="B215" s="203"/>
      <c r="C215" s="198"/>
      <c r="D215" s="209">
        <f t="shared" si="3"/>
        <v>0</v>
      </c>
      <c r="E215" s="220"/>
      <c r="F215" s="212"/>
      <c r="G215" s="215"/>
      <c r="H215" s="215"/>
      <c r="I215" s="271"/>
      <c r="J215" s="272"/>
      <c r="K215" s="215"/>
      <c r="L215" s="217"/>
      <c r="M215" s="217"/>
    </row>
    <row r="216" spans="1:13" ht="35.1" customHeight="1" x14ac:dyDescent="0.25">
      <c r="A216" s="206"/>
      <c r="B216" s="203"/>
      <c r="C216" s="198"/>
      <c r="D216" s="209">
        <f t="shared" si="3"/>
        <v>0</v>
      </c>
      <c r="E216" s="220"/>
      <c r="F216" s="212"/>
      <c r="G216" s="215"/>
      <c r="H216" s="215"/>
      <c r="I216" s="271"/>
      <c r="J216" s="272"/>
      <c r="K216" s="215"/>
      <c r="L216" s="217"/>
      <c r="M216" s="217"/>
    </row>
    <row r="217" spans="1:13" ht="35.1" customHeight="1" x14ac:dyDescent="0.25">
      <c r="A217" s="206"/>
      <c r="B217" s="203"/>
      <c r="C217" s="198"/>
      <c r="D217" s="209">
        <f t="shared" si="3"/>
        <v>0</v>
      </c>
      <c r="E217" s="220"/>
      <c r="F217" s="212"/>
      <c r="G217" s="215"/>
      <c r="H217" s="215"/>
      <c r="I217" s="271"/>
      <c r="J217" s="272"/>
      <c r="K217" s="215"/>
      <c r="L217" s="217"/>
      <c r="M217" s="217"/>
    </row>
    <row r="218" spans="1:13" ht="35.1" customHeight="1" x14ac:dyDescent="0.25">
      <c r="A218" s="206"/>
      <c r="B218" s="203"/>
      <c r="C218" s="198"/>
      <c r="D218" s="209">
        <f t="shared" si="3"/>
        <v>0</v>
      </c>
      <c r="E218" s="220"/>
      <c r="F218" s="212"/>
      <c r="G218" s="215"/>
      <c r="H218" s="215"/>
      <c r="I218" s="271"/>
      <c r="J218" s="272"/>
      <c r="K218" s="215"/>
      <c r="L218" s="217"/>
      <c r="M218" s="217"/>
    </row>
    <row r="219" spans="1:13" ht="35.1" customHeight="1" x14ac:dyDescent="0.25">
      <c r="A219" s="206"/>
      <c r="B219" s="203"/>
      <c r="C219" s="198"/>
      <c r="D219" s="209">
        <f t="shared" si="3"/>
        <v>0</v>
      </c>
      <c r="E219" s="220"/>
      <c r="F219" s="212"/>
      <c r="G219" s="215"/>
      <c r="H219" s="215"/>
      <c r="I219" s="271"/>
      <c r="J219" s="272"/>
      <c r="K219" s="215"/>
      <c r="L219" s="217"/>
      <c r="M219" s="217"/>
    </row>
    <row r="220" spans="1:13" ht="35.1" customHeight="1" x14ac:dyDescent="0.25">
      <c r="A220" s="206"/>
      <c r="B220" s="203"/>
      <c r="C220" s="198"/>
      <c r="D220" s="209">
        <f t="shared" si="3"/>
        <v>0</v>
      </c>
      <c r="E220" s="220"/>
      <c r="F220" s="212"/>
      <c r="G220" s="215"/>
      <c r="H220" s="215"/>
      <c r="I220" s="271"/>
      <c r="J220" s="272"/>
      <c r="K220" s="215"/>
      <c r="L220" s="217"/>
      <c r="M220" s="217"/>
    </row>
    <row r="221" spans="1:13" ht="35.1" customHeight="1" x14ac:dyDescent="0.25">
      <c r="A221" s="206"/>
      <c r="B221" s="203"/>
      <c r="C221" s="198"/>
      <c r="D221" s="209">
        <f t="shared" si="3"/>
        <v>0</v>
      </c>
      <c r="E221" s="220"/>
      <c r="F221" s="212"/>
      <c r="G221" s="215"/>
      <c r="H221" s="215"/>
      <c r="I221" s="271"/>
      <c r="J221" s="272"/>
      <c r="K221" s="215"/>
      <c r="L221" s="217"/>
      <c r="M221" s="217"/>
    </row>
    <row r="222" spans="1:13" ht="35.1" customHeight="1" x14ac:dyDescent="0.25">
      <c r="A222" s="206"/>
      <c r="B222" s="203"/>
      <c r="C222" s="198"/>
      <c r="D222" s="209">
        <f t="shared" si="3"/>
        <v>0</v>
      </c>
      <c r="E222" s="220"/>
      <c r="F222" s="212"/>
      <c r="G222" s="215"/>
      <c r="H222" s="215"/>
      <c r="I222" s="271"/>
      <c r="J222" s="272"/>
      <c r="K222" s="215"/>
      <c r="L222" s="217"/>
      <c r="M222" s="217"/>
    </row>
    <row r="223" spans="1:13" ht="35.1" customHeight="1" x14ac:dyDescent="0.25">
      <c r="A223" s="206"/>
      <c r="B223" s="203"/>
      <c r="C223" s="198"/>
      <c r="D223" s="209">
        <f t="shared" si="3"/>
        <v>0</v>
      </c>
      <c r="E223" s="220"/>
      <c r="F223" s="212"/>
      <c r="G223" s="215"/>
      <c r="H223" s="215"/>
      <c r="I223" s="271"/>
      <c r="J223" s="272"/>
      <c r="K223" s="215"/>
      <c r="L223" s="217"/>
      <c r="M223" s="217"/>
    </row>
    <row r="224" spans="1:13" ht="35.1" customHeight="1" x14ac:dyDescent="0.25">
      <c r="A224" s="206"/>
      <c r="B224" s="203"/>
      <c r="C224" s="198"/>
      <c r="D224" s="209">
        <f t="shared" si="3"/>
        <v>0</v>
      </c>
      <c r="E224" s="220"/>
      <c r="F224" s="212"/>
      <c r="G224" s="215"/>
      <c r="H224" s="215"/>
      <c r="I224" s="271"/>
      <c r="J224" s="272"/>
      <c r="K224" s="215"/>
      <c r="L224" s="217"/>
      <c r="M224" s="217"/>
    </row>
    <row r="225" spans="1:13" ht="35.1" customHeight="1" x14ac:dyDescent="0.25">
      <c r="A225" s="206"/>
      <c r="B225" s="203"/>
      <c r="C225" s="198"/>
      <c r="D225" s="209">
        <f t="shared" si="3"/>
        <v>0</v>
      </c>
      <c r="E225" s="220"/>
      <c r="F225" s="212"/>
      <c r="G225" s="215"/>
      <c r="H225" s="215"/>
      <c r="I225" s="271"/>
      <c r="J225" s="272"/>
      <c r="K225" s="215"/>
      <c r="L225" s="217"/>
      <c r="M225" s="217"/>
    </row>
    <row r="226" spans="1:13" ht="35.1" customHeight="1" x14ac:dyDescent="0.25">
      <c r="A226" s="206"/>
      <c r="B226" s="203"/>
      <c r="C226" s="198"/>
      <c r="D226" s="209">
        <f t="shared" si="3"/>
        <v>0</v>
      </c>
      <c r="E226" s="220"/>
      <c r="F226" s="212"/>
      <c r="G226" s="215"/>
      <c r="H226" s="215"/>
      <c r="I226" s="271"/>
      <c r="J226" s="272"/>
      <c r="K226" s="215"/>
      <c r="L226" s="217"/>
      <c r="M226" s="217"/>
    </row>
    <row r="227" spans="1:13" ht="35.1" customHeight="1" x14ac:dyDescent="0.25">
      <c r="A227" s="206"/>
      <c r="B227" s="203"/>
      <c r="C227" s="198"/>
      <c r="D227" s="209">
        <f t="shared" si="3"/>
        <v>0</v>
      </c>
      <c r="E227" s="220"/>
      <c r="F227" s="212"/>
      <c r="G227" s="215"/>
      <c r="H227" s="215"/>
      <c r="I227" s="271"/>
      <c r="J227" s="272"/>
      <c r="K227" s="215"/>
      <c r="L227" s="217"/>
      <c r="M227" s="217"/>
    </row>
    <row r="228" spans="1:13" ht="35.1" customHeight="1" x14ac:dyDescent="0.25">
      <c r="A228" s="206"/>
      <c r="B228" s="203"/>
      <c r="C228" s="198"/>
      <c r="D228" s="209">
        <f t="shared" si="3"/>
        <v>0</v>
      </c>
      <c r="E228" s="220"/>
      <c r="F228" s="212"/>
      <c r="G228" s="215"/>
      <c r="H228" s="215"/>
      <c r="I228" s="271"/>
      <c r="J228" s="272"/>
      <c r="K228" s="215"/>
      <c r="L228" s="217"/>
      <c r="M228" s="217"/>
    </row>
    <row r="229" spans="1:13" ht="35.1" customHeight="1" x14ac:dyDescent="0.25">
      <c r="A229" s="206"/>
      <c r="B229" s="203"/>
      <c r="C229" s="198"/>
      <c r="D229" s="209">
        <f t="shared" si="3"/>
        <v>0</v>
      </c>
      <c r="E229" s="220"/>
      <c r="F229" s="212"/>
      <c r="G229" s="215"/>
      <c r="H229" s="215"/>
      <c r="I229" s="271"/>
      <c r="J229" s="272"/>
      <c r="K229" s="215"/>
      <c r="L229" s="217"/>
      <c r="M229" s="217"/>
    </row>
    <row r="230" spans="1:13" ht="35.1" customHeight="1" x14ac:dyDescent="0.25">
      <c r="A230" s="206"/>
      <c r="B230" s="203"/>
      <c r="C230" s="198"/>
      <c r="D230" s="209">
        <f t="shared" si="3"/>
        <v>0</v>
      </c>
      <c r="E230" s="220"/>
      <c r="F230" s="212"/>
      <c r="G230" s="215"/>
      <c r="H230" s="215"/>
      <c r="I230" s="271"/>
      <c r="J230" s="272"/>
      <c r="K230" s="215"/>
      <c r="L230" s="217"/>
      <c r="M230" s="217"/>
    </row>
    <row r="231" spans="1:13" ht="35.1" customHeight="1" x14ac:dyDescent="0.25">
      <c r="A231" s="206"/>
      <c r="B231" s="203"/>
      <c r="C231" s="198"/>
      <c r="D231" s="209">
        <f t="shared" ref="D231:D294" si="4">C231-B231</f>
        <v>0</v>
      </c>
      <c r="E231" s="220"/>
      <c r="F231" s="212"/>
      <c r="G231" s="215"/>
      <c r="H231" s="215"/>
      <c r="I231" s="271"/>
      <c r="J231" s="272"/>
      <c r="K231" s="215"/>
      <c r="L231" s="217"/>
      <c r="M231" s="217"/>
    </row>
    <row r="232" spans="1:13" ht="35.1" customHeight="1" x14ac:dyDescent="0.25">
      <c r="A232" s="206"/>
      <c r="B232" s="203"/>
      <c r="C232" s="198"/>
      <c r="D232" s="209">
        <f t="shared" si="4"/>
        <v>0</v>
      </c>
      <c r="E232" s="220"/>
      <c r="F232" s="212"/>
      <c r="G232" s="215"/>
      <c r="H232" s="215"/>
      <c r="I232" s="271"/>
      <c r="J232" s="272"/>
      <c r="K232" s="215"/>
      <c r="L232" s="217"/>
      <c r="M232" s="217"/>
    </row>
    <row r="233" spans="1:13" ht="35.1" customHeight="1" x14ac:dyDescent="0.25">
      <c r="A233" s="206"/>
      <c r="B233" s="203"/>
      <c r="C233" s="198"/>
      <c r="D233" s="209">
        <f t="shared" si="4"/>
        <v>0</v>
      </c>
      <c r="E233" s="220"/>
      <c r="F233" s="212"/>
      <c r="G233" s="215"/>
      <c r="H233" s="215"/>
      <c r="I233" s="271"/>
      <c r="J233" s="272"/>
      <c r="K233" s="215"/>
      <c r="L233" s="217"/>
      <c r="M233" s="217"/>
    </row>
    <row r="234" spans="1:13" ht="35.1" customHeight="1" x14ac:dyDescent="0.25">
      <c r="A234" s="206"/>
      <c r="B234" s="203"/>
      <c r="C234" s="198"/>
      <c r="D234" s="209">
        <f t="shared" si="4"/>
        <v>0</v>
      </c>
      <c r="E234" s="220"/>
      <c r="F234" s="212"/>
      <c r="G234" s="215"/>
      <c r="H234" s="215"/>
      <c r="I234" s="271"/>
      <c r="J234" s="272"/>
      <c r="K234" s="215"/>
      <c r="L234" s="217"/>
      <c r="M234" s="217"/>
    </row>
    <row r="235" spans="1:13" ht="35.1" customHeight="1" x14ac:dyDescent="0.25">
      <c r="A235" s="206"/>
      <c r="B235" s="203"/>
      <c r="C235" s="198"/>
      <c r="D235" s="209">
        <f t="shared" si="4"/>
        <v>0</v>
      </c>
      <c r="E235" s="220"/>
      <c r="F235" s="212"/>
      <c r="G235" s="215"/>
      <c r="H235" s="215"/>
      <c r="I235" s="271"/>
      <c r="J235" s="272"/>
      <c r="K235" s="215"/>
      <c r="L235" s="217"/>
      <c r="M235" s="217"/>
    </row>
    <row r="236" spans="1:13" ht="35.1" customHeight="1" x14ac:dyDescent="0.25">
      <c r="A236" s="206"/>
      <c r="B236" s="203"/>
      <c r="C236" s="198"/>
      <c r="D236" s="209">
        <f t="shared" si="4"/>
        <v>0</v>
      </c>
      <c r="E236" s="220"/>
      <c r="F236" s="212"/>
      <c r="G236" s="215"/>
      <c r="H236" s="215"/>
      <c r="I236" s="271"/>
      <c r="J236" s="272"/>
      <c r="K236" s="215"/>
      <c r="L236" s="217"/>
      <c r="M236" s="217"/>
    </row>
    <row r="237" spans="1:13" ht="35.1" customHeight="1" x14ac:dyDescent="0.25">
      <c r="A237" s="206"/>
      <c r="B237" s="203"/>
      <c r="C237" s="198"/>
      <c r="D237" s="209">
        <f t="shared" si="4"/>
        <v>0</v>
      </c>
      <c r="E237" s="220"/>
      <c r="F237" s="212"/>
      <c r="G237" s="215"/>
      <c r="H237" s="215"/>
      <c r="I237" s="271"/>
      <c r="J237" s="272"/>
      <c r="K237" s="215"/>
      <c r="L237" s="217"/>
      <c r="M237" s="217"/>
    </row>
    <row r="238" spans="1:13" ht="35.1" customHeight="1" x14ac:dyDescent="0.25">
      <c r="A238" s="206"/>
      <c r="B238" s="203"/>
      <c r="C238" s="198"/>
      <c r="D238" s="209">
        <f t="shared" si="4"/>
        <v>0</v>
      </c>
      <c r="E238" s="220"/>
      <c r="F238" s="212"/>
      <c r="G238" s="215"/>
      <c r="H238" s="215"/>
      <c r="I238" s="271"/>
      <c r="J238" s="272"/>
      <c r="K238" s="215"/>
      <c r="L238" s="217"/>
      <c r="M238" s="217"/>
    </row>
    <row r="239" spans="1:13" ht="35.1" customHeight="1" x14ac:dyDescent="0.25">
      <c r="A239" s="206"/>
      <c r="B239" s="203"/>
      <c r="C239" s="198"/>
      <c r="D239" s="209">
        <f t="shared" si="4"/>
        <v>0</v>
      </c>
      <c r="E239" s="220"/>
      <c r="F239" s="212"/>
      <c r="G239" s="215"/>
      <c r="H239" s="215"/>
      <c r="I239" s="271"/>
      <c r="J239" s="272"/>
      <c r="K239" s="215"/>
      <c r="L239" s="217"/>
      <c r="M239" s="217"/>
    </row>
    <row r="240" spans="1:13" ht="35.1" customHeight="1" x14ac:dyDescent="0.25">
      <c r="A240" s="206"/>
      <c r="B240" s="203"/>
      <c r="C240" s="198"/>
      <c r="D240" s="209">
        <f t="shared" si="4"/>
        <v>0</v>
      </c>
      <c r="E240" s="220"/>
      <c r="F240" s="212"/>
      <c r="G240" s="215"/>
      <c r="H240" s="215"/>
      <c r="I240" s="271"/>
      <c r="J240" s="272"/>
      <c r="K240" s="215"/>
      <c r="L240" s="217"/>
      <c r="M240" s="217"/>
    </row>
    <row r="241" spans="1:13" ht="35.1" customHeight="1" x14ac:dyDescent="0.25">
      <c r="A241" s="206"/>
      <c r="B241" s="203"/>
      <c r="C241" s="198"/>
      <c r="D241" s="209">
        <f t="shared" si="4"/>
        <v>0</v>
      </c>
      <c r="E241" s="220"/>
      <c r="F241" s="212"/>
      <c r="G241" s="215"/>
      <c r="H241" s="215"/>
      <c r="I241" s="271"/>
      <c r="J241" s="272"/>
      <c r="K241" s="215"/>
      <c r="L241" s="217"/>
      <c r="M241" s="217"/>
    </row>
    <row r="242" spans="1:13" ht="35.1" customHeight="1" x14ac:dyDescent="0.25">
      <c r="A242" s="206"/>
      <c r="B242" s="203"/>
      <c r="C242" s="198"/>
      <c r="D242" s="209">
        <f t="shared" si="4"/>
        <v>0</v>
      </c>
      <c r="E242" s="220"/>
      <c r="F242" s="212"/>
      <c r="G242" s="215"/>
      <c r="H242" s="215"/>
      <c r="I242" s="271"/>
      <c r="J242" s="272"/>
      <c r="K242" s="215"/>
      <c r="L242" s="217"/>
      <c r="M242" s="217"/>
    </row>
    <row r="243" spans="1:13" ht="35.1" customHeight="1" x14ac:dyDescent="0.25">
      <c r="A243" s="206"/>
      <c r="B243" s="203"/>
      <c r="C243" s="198"/>
      <c r="D243" s="209">
        <f t="shared" si="4"/>
        <v>0</v>
      </c>
      <c r="E243" s="220"/>
      <c r="F243" s="212"/>
      <c r="G243" s="215"/>
      <c r="H243" s="215"/>
      <c r="I243" s="271"/>
      <c r="J243" s="272"/>
      <c r="K243" s="215"/>
      <c r="L243" s="217"/>
      <c r="M243" s="217"/>
    </row>
    <row r="244" spans="1:13" ht="35.1" customHeight="1" x14ac:dyDescent="0.25">
      <c r="A244" s="206"/>
      <c r="B244" s="203"/>
      <c r="C244" s="198"/>
      <c r="D244" s="209">
        <f t="shared" si="4"/>
        <v>0</v>
      </c>
      <c r="E244" s="220"/>
      <c r="F244" s="212"/>
      <c r="G244" s="215"/>
      <c r="H244" s="215"/>
      <c r="I244" s="271"/>
      <c r="J244" s="272"/>
      <c r="K244" s="215"/>
      <c r="L244" s="217"/>
      <c r="M244" s="217"/>
    </row>
    <row r="245" spans="1:13" ht="35.1" customHeight="1" x14ac:dyDescent="0.25">
      <c r="A245" s="206"/>
      <c r="B245" s="203"/>
      <c r="C245" s="198"/>
      <c r="D245" s="209">
        <f t="shared" si="4"/>
        <v>0</v>
      </c>
      <c r="E245" s="220"/>
      <c r="F245" s="212"/>
      <c r="G245" s="215"/>
      <c r="H245" s="215"/>
      <c r="I245" s="271"/>
      <c r="J245" s="272"/>
      <c r="K245" s="215"/>
      <c r="L245" s="217"/>
      <c r="M245" s="217"/>
    </row>
    <row r="246" spans="1:13" ht="35.1" customHeight="1" x14ac:dyDescent="0.25">
      <c r="A246" s="206"/>
      <c r="B246" s="203"/>
      <c r="C246" s="198"/>
      <c r="D246" s="209">
        <f t="shared" si="4"/>
        <v>0</v>
      </c>
      <c r="E246" s="220"/>
      <c r="F246" s="212"/>
      <c r="G246" s="215"/>
      <c r="H246" s="215"/>
      <c r="I246" s="271"/>
      <c r="J246" s="272"/>
      <c r="K246" s="215"/>
      <c r="L246" s="217"/>
      <c r="M246" s="217"/>
    </row>
    <row r="247" spans="1:13" ht="35.1" customHeight="1" x14ac:dyDescent="0.25">
      <c r="A247" s="206"/>
      <c r="B247" s="203"/>
      <c r="C247" s="198"/>
      <c r="D247" s="209">
        <f t="shared" si="4"/>
        <v>0</v>
      </c>
      <c r="E247" s="220"/>
      <c r="F247" s="212"/>
      <c r="G247" s="215"/>
      <c r="H247" s="215"/>
      <c r="I247" s="271"/>
      <c r="J247" s="272"/>
      <c r="K247" s="215"/>
      <c r="L247" s="217"/>
      <c r="M247" s="217"/>
    </row>
    <row r="248" spans="1:13" ht="35.1" customHeight="1" x14ac:dyDescent="0.25">
      <c r="A248" s="206"/>
      <c r="B248" s="203"/>
      <c r="C248" s="198"/>
      <c r="D248" s="209">
        <f t="shared" si="4"/>
        <v>0</v>
      </c>
      <c r="E248" s="220"/>
      <c r="F248" s="212"/>
      <c r="G248" s="215"/>
      <c r="H248" s="215"/>
      <c r="I248" s="271"/>
      <c r="J248" s="272"/>
      <c r="K248" s="215"/>
      <c r="L248" s="217"/>
      <c r="M248" s="217"/>
    </row>
    <row r="249" spans="1:13" ht="35.1" customHeight="1" x14ac:dyDescent="0.25">
      <c r="A249" s="206"/>
      <c r="B249" s="203"/>
      <c r="C249" s="198"/>
      <c r="D249" s="209">
        <f t="shared" si="4"/>
        <v>0</v>
      </c>
      <c r="E249" s="220"/>
      <c r="F249" s="212"/>
      <c r="G249" s="215"/>
      <c r="H249" s="215"/>
      <c r="I249" s="271"/>
      <c r="J249" s="272"/>
      <c r="K249" s="215"/>
      <c r="L249" s="217"/>
      <c r="M249" s="217"/>
    </row>
    <row r="250" spans="1:13" ht="35.1" customHeight="1" x14ac:dyDescent="0.25">
      <c r="A250" s="206"/>
      <c r="B250" s="203"/>
      <c r="C250" s="198"/>
      <c r="D250" s="209">
        <f t="shared" si="4"/>
        <v>0</v>
      </c>
      <c r="E250" s="220"/>
      <c r="F250" s="212"/>
      <c r="G250" s="215"/>
      <c r="H250" s="215"/>
      <c r="I250" s="271"/>
      <c r="J250" s="272"/>
      <c r="K250" s="215"/>
      <c r="L250" s="217"/>
      <c r="M250" s="217"/>
    </row>
    <row r="251" spans="1:13" ht="35.1" customHeight="1" x14ac:dyDescent="0.25">
      <c r="A251" s="206"/>
      <c r="B251" s="203"/>
      <c r="C251" s="198"/>
      <c r="D251" s="209">
        <f t="shared" si="4"/>
        <v>0</v>
      </c>
      <c r="E251" s="220"/>
      <c r="F251" s="212"/>
      <c r="G251" s="215"/>
      <c r="H251" s="215"/>
      <c r="I251" s="271"/>
      <c r="J251" s="272"/>
      <c r="K251" s="215"/>
      <c r="L251" s="217"/>
      <c r="M251" s="217"/>
    </row>
    <row r="252" spans="1:13" ht="35.1" customHeight="1" x14ac:dyDescent="0.25">
      <c r="A252" s="206"/>
      <c r="B252" s="203"/>
      <c r="C252" s="198"/>
      <c r="D252" s="209">
        <f t="shared" si="4"/>
        <v>0</v>
      </c>
      <c r="E252" s="220"/>
      <c r="F252" s="212"/>
      <c r="G252" s="215"/>
      <c r="H252" s="215"/>
      <c r="I252" s="271"/>
      <c r="J252" s="272"/>
      <c r="K252" s="215"/>
      <c r="L252" s="217"/>
      <c r="M252" s="217"/>
    </row>
    <row r="253" spans="1:13" ht="35.1" customHeight="1" x14ac:dyDescent="0.25">
      <c r="A253" s="206"/>
      <c r="B253" s="203"/>
      <c r="C253" s="198"/>
      <c r="D253" s="209">
        <f t="shared" si="4"/>
        <v>0</v>
      </c>
      <c r="E253" s="220"/>
      <c r="F253" s="212"/>
      <c r="G253" s="215"/>
      <c r="H253" s="215"/>
      <c r="I253" s="271"/>
      <c r="J253" s="272"/>
      <c r="K253" s="215"/>
      <c r="L253" s="217"/>
      <c r="M253" s="217"/>
    </row>
    <row r="254" spans="1:13" ht="35.1" customHeight="1" x14ac:dyDescent="0.25">
      <c r="A254" s="206"/>
      <c r="B254" s="203"/>
      <c r="C254" s="198"/>
      <c r="D254" s="209">
        <f t="shared" si="4"/>
        <v>0</v>
      </c>
      <c r="E254" s="220"/>
      <c r="F254" s="212"/>
      <c r="G254" s="215"/>
      <c r="H254" s="215"/>
      <c r="I254" s="271"/>
      <c r="J254" s="272"/>
      <c r="K254" s="215"/>
      <c r="L254" s="217"/>
      <c r="M254" s="217"/>
    </row>
    <row r="255" spans="1:13" ht="35.1" customHeight="1" x14ac:dyDescent="0.25">
      <c r="A255" s="206"/>
      <c r="B255" s="203"/>
      <c r="C255" s="198"/>
      <c r="D255" s="209">
        <f t="shared" si="4"/>
        <v>0</v>
      </c>
      <c r="E255" s="220"/>
      <c r="F255" s="212"/>
      <c r="G255" s="215"/>
      <c r="H255" s="215"/>
      <c r="I255" s="271"/>
      <c r="J255" s="272"/>
      <c r="K255" s="215"/>
      <c r="L255" s="217"/>
      <c r="M255" s="217"/>
    </row>
    <row r="256" spans="1:13" ht="35.1" customHeight="1" x14ac:dyDescent="0.25">
      <c r="A256" s="206"/>
      <c r="B256" s="203"/>
      <c r="C256" s="198"/>
      <c r="D256" s="209">
        <f t="shared" si="4"/>
        <v>0</v>
      </c>
      <c r="E256" s="220"/>
      <c r="F256" s="212"/>
      <c r="G256" s="215"/>
      <c r="H256" s="215"/>
      <c r="I256" s="271"/>
      <c r="J256" s="272"/>
      <c r="K256" s="215"/>
      <c r="L256" s="217"/>
      <c r="M256" s="217"/>
    </row>
    <row r="257" spans="1:13" ht="35.1" customHeight="1" x14ac:dyDescent="0.25">
      <c r="A257" s="206"/>
      <c r="B257" s="203"/>
      <c r="C257" s="198"/>
      <c r="D257" s="209">
        <f t="shared" si="4"/>
        <v>0</v>
      </c>
      <c r="E257" s="220"/>
      <c r="F257" s="212"/>
      <c r="G257" s="215"/>
      <c r="H257" s="215"/>
      <c r="I257" s="271"/>
      <c r="J257" s="272"/>
      <c r="K257" s="215"/>
      <c r="L257" s="217"/>
      <c r="M257" s="217"/>
    </row>
    <row r="258" spans="1:13" ht="35.1" customHeight="1" x14ac:dyDescent="0.25">
      <c r="A258" s="206"/>
      <c r="B258" s="203"/>
      <c r="C258" s="198"/>
      <c r="D258" s="209">
        <f t="shared" si="4"/>
        <v>0</v>
      </c>
      <c r="E258" s="220"/>
      <c r="F258" s="212"/>
      <c r="G258" s="215"/>
      <c r="H258" s="215"/>
      <c r="I258" s="271"/>
      <c r="J258" s="272"/>
      <c r="K258" s="215"/>
      <c r="L258" s="217"/>
      <c r="M258" s="217"/>
    </row>
    <row r="259" spans="1:13" ht="35.1" customHeight="1" x14ac:dyDescent="0.25">
      <c r="A259" s="205"/>
      <c r="B259" s="202"/>
      <c r="C259" s="201"/>
      <c r="D259" s="208">
        <f t="shared" si="4"/>
        <v>0</v>
      </c>
      <c r="E259" s="219"/>
      <c r="F259" s="211"/>
      <c r="G259" s="214"/>
      <c r="H259" s="214"/>
      <c r="I259" s="273"/>
      <c r="J259" s="274"/>
      <c r="K259" s="214"/>
      <c r="L259" s="216"/>
      <c r="M259" s="216"/>
    </row>
    <row r="260" spans="1:13" ht="35.1" customHeight="1" x14ac:dyDescent="0.25">
      <c r="A260" s="206"/>
      <c r="B260" s="203"/>
      <c r="C260" s="198"/>
      <c r="D260" s="209">
        <f t="shared" si="4"/>
        <v>0</v>
      </c>
      <c r="E260" s="220"/>
      <c r="F260" s="212"/>
      <c r="G260" s="215"/>
      <c r="H260" s="215"/>
      <c r="I260" s="271"/>
      <c r="J260" s="272"/>
      <c r="K260" s="215"/>
      <c r="L260" s="217"/>
      <c r="M260" s="217"/>
    </row>
    <row r="261" spans="1:13" ht="35.1" customHeight="1" x14ac:dyDescent="0.25">
      <c r="A261" s="206"/>
      <c r="B261" s="203"/>
      <c r="C261" s="198"/>
      <c r="D261" s="209">
        <f t="shared" si="4"/>
        <v>0</v>
      </c>
      <c r="E261" s="220"/>
      <c r="F261" s="212"/>
      <c r="G261" s="215"/>
      <c r="H261" s="215"/>
      <c r="I261" s="271"/>
      <c r="J261" s="272"/>
      <c r="K261" s="215"/>
      <c r="L261" s="217"/>
      <c r="M261" s="217"/>
    </row>
    <row r="262" spans="1:13" ht="35.1" customHeight="1" x14ac:dyDescent="0.25">
      <c r="A262" s="206"/>
      <c r="B262" s="203"/>
      <c r="C262" s="198"/>
      <c r="D262" s="209">
        <f t="shared" si="4"/>
        <v>0</v>
      </c>
      <c r="E262" s="220"/>
      <c r="F262" s="212"/>
      <c r="G262" s="215"/>
      <c r="H262" s="215"/>
      <c r="I262" s="271"/>
      <c r="J262" s="272"/>
      <c r="K262" s="215"/>
      <c r="L262" s="217"/>
      <c r="M262" s="217"/>
    </row>
    <row r="263" spans="1:13" ht="35.1" customHeight="1" x14ac:dyDescent="0.25">
      <c r="A263" s="206"/>
      <c r="B263" s="203"/>
      <c r="C263" s="198"/>
      <c r="D263" s="209">
        <f t="shared" si="4"/>
        <v>0</v>
      </c>
      <c r="E263" s="220"/>
      <c r="F263" s="212"/>
      <c r="G263" s="215"/>
      <c r="H263" s="215"/>
      <c r="I263" s="271"/>
      <c r="J263" s="272"/>
      <c r="K263" s="215"/>
      <c r="L263" s="217"/>
      <c r="M263" s="217"/>
    </row>
    <row r="264" spans="1:13" ht="35.1" customHeight="1" x14ac:dyDescent="0.25">
      <c r="A264" s="206"/>
      <c r="B264" s="203"/>
      <c r="C264" s="198"/>
      <c r="D264" s="209">
        <f t="shared" si="4"/>
        <v>0</v>
      </c>
      <c r="E264" s="220"/>
      <c r="F264" s="212"/>
      <c r="G264" s="215"/>
      <c r="H264" s="215"/>
      <c r="I264" s="271"/>
      <c r="J264" s="272"/>
      <c r="K264" s="215"/>
      <c r="L264" s="217"/>
      <c r="M264" s="217"/>
    </row>
    <row r="265" spans="1:13" ht="35.1" customHeight="1" x14ac:dyDescent="0.25">
      <c r="A265" s="206"/>
      <c r="B265" s="203"/>
      <c r="C265" s="198"/>
      <c r="D265" s="209">
        <f t="shared" si="4"/>
        <v>0</v>
      </c>
      <c r="E265" s="220"/>
      <c r="F265" s="212"/>
      <c r="G265" s="215"/>
      <c r="H265" s="215"/>
      <c r="I265" s="271"/>
      <c r="J265" s="272"/>
      <c r="K265" s="215"/>
      <c r="L265" s="217"/>
      <c r="M265" s="217"/>
    </row>
    <row r="266" spans="1:13" ht="35.1" customHeight="1" x14ac:dyDescent="0.25">
      <c r="A266" s="206"/>
      <c r="B266" s="203"/>
      <c r="C266" s="198"/>
      <c r="D266" s="209">
        <f t="shared" si="4"/>
        <v>0</v>
      </c>
      <c r="E266" s="220"/>
      <c r="F266" s="212"/>
      <c r="G266" s="215"/>
      <c r="H266" s="215"/>
      <c r="I266" s="271"/>
      <c r="J266" s="272"/>
      <c r="K266" s="215"/>
      <c r="L266" s="217"/>
      <c r="M266" s="217"/>
    </row>
    <row r="267" spans="1:13" ht="35.1" customHeight="1" x14ac:dyDescent="0.25">
      <c r="A267" s="206"/>
      <c r="B267" s="203"/>
      <c r="C267" s="198"/>
      <c r="D267" s="209">
        <f t="shared" si="4"/>
        <v>0</v>
      </c>
      <c r="E267" s="220"/>
      <c r="F267" s="212"/>
      <c r="G267" s="215"/>
      <c r="H267" s="215"/>
      <c r="I267" s="271"/>
      <c r="J267" s="272"/>
      <c r="K267" s="215"/>
      <c r="L267" s="217"/>
      <c r="M267" s="217"/>
    </row>
    <row r="268" spans="1:13" ht="35.1" customHeight="1" x14ac:dyDescent="0.25">
      <c r="A268" s="206"/>
      <c r="B268" s="203"/>
      <c r="C268" s="198"/>
      <c r="D268" s="209">
        <f t="shared" si="4"/>
        <v>0</v>
      </c>
      <c r="E268" s="220"/>
      <c r="F268" s="212"/>
      <c r="G268" s="215"/>
      <c r="H268" s="215"/>
      <c r="I268" s="271"/>
      <c r="J268" s="272"/>
      <c r="K268" s="215"/>
      <c r="L268" s="217"/>
      <c r="M268" s="217"/>
    </row>
    <row r="269" spans="1:13" ht="35.1" customHeight="1" x14ac:dyDescent="0.25">
      <c r="A269" s="206"/>
      <c r="B269" s="203"/>
      <c r="C269" s="198"/>
      <c r="D269" s="209">
        <f t="shared" si="4"/>
        <v>0</v>
      </c>
      <c r="E269" s="220"/>
      <c r="F269" s="212"/>
      <c r="G269" s="215"/>
      <c r="H269" s="215"/>
      <c r="I269" s="271"/>
      <c r="J269" s="272"/>
      <c r="K269" s="215"/>
      <c r="L269" s="217"/>
      <c r="M269" s="217"/>
    </row>
    <row r="270" spans="1:13" ht="35.1" customHeight="1" x14ac:dyDescent="0.25">
      <c r="A270" s="206"/>
      <c r="B270" s="203"/>
      <c r="C270" s="198"/>
      <c r="D270" s="209">
        <f t="shared" si="4"/>
        <v>0</v>
      </c>
      <c r="E270" s="220"/>
      <c r="F270" s="212"/>
      <c r="G270" s="215"/>
      <c r="H270" s="215"/>
      <c r="I270" s="271"/>
      <c r="J270" s="272"/>
      <c r="K270" s="215"/>
      <c r="L270" s="217"/>
      <c r="M270" s="217"/>
    </row>
    <row r="271" spans="1:13" ht="35.1" customHeight="1" x14ac:dyDescent="0.25">
      <c r="A271" s="206"/>
      <c r="B271" s="203"/>
      <c r="C271" s="198"/>
      <c r="D271" s="209">
        <f t="shared" si="4"/>
        <v>0</v>
      </c>
      <c r="E271" s="220"/>
      <c r="F271" s="212"/>
      <c r="G271" s="215"/>
      <c r="H271" s="215"/>
      <c r="I271" s="271"/>
      <c r="J271" s="272"/>
      <c r="K271" s="215"/>
      <c r="L271" s="217"/>
      <c r="M271" s="217"/>
    </row>
    <row r="272" spans="1:13" ht="35.1" customHeight="1" x14ac:dyDescent="0.25">
      <c r="A272" s="206"/>
      <c r="B272" s="203"/>
      <c r="C272" s="198"/>
      <c r="D272" s="209">
        <f t="shared" si="4"/>
        <v>0</v>
      </c>
      <c r="E272" s="220"/>
      <c r="F272" s="212"/>
      <c r="G272" s="215"/>
      <c r="H272" s="215"/>
      <c r="I272" s="271"/>
      <c r="J272" s="272"/>
      <c r="K272" s="215"/>
      <c r="L272" s="217"/>
      <c r="M272" s="217"/>
    </row>
    <row r="273" spans="1:13" ht="35.1" customHeight="1" x14ac:dyDescent="0.25">
      <c r="A273" s="206"/>
      <c r="B273" s="203"/>
      <c r="C273" s="198"/>
      <c r="D273" s="209">
        <f t="shared" si="4"/>
        <v>0</v>
      </c>
      <c r="E273" s="220"/>
      <c r="F273" s="212"/>
      <c r="G273" s="215"/>
      <c r="H273" s="215"/>
      <c r="I273" s="271"/>
      <c r="J273" s="272"/>
      <c r="K273" s="215"/>
      <c r="L273" s="217"/>
      <c r="M273" s="217"/>
    </row>
    <row r="274" spans="1:13" ht="35.1" customHeight="1" x14ac:dyDescent="0.25">
      <c r="A274" s="206"/>
      <c r="B274" s="203"/>
      <c r="C274" s="198"/>
      <c r="D274" s="209">
        <f t="shared" si="4"/>
        <v>0</v>
      </c>
      <c r="E274" s="220"/>
      <c r="F274" s="212"/>
      <c r="G274" s="215"/>
      <c r="H274" s="215"/>
      <c r="I274" s="271"/>
      <c r="J274" s="272"/>
      <c r="K274" s="215"/>
      <c r="L274" s="217"/>
      <c r="M274" s="217"/>
    </row>
    <row r="275" spans="1:13" ht="35.1" customHeight="1" x14ac:dyDescent="0.25">
      <c r="A275" s="206"/>
      <c r="B275" s="203"/>
      <c r="C275" s="198"/>
      <c r="D275" s="209">
        <f t="shared" si="4"/>
        <v>0</v>
      </c>
      <c r="E275" s="220"/>
      <c r="F275" s="212"/>
      <c r="G275" s="215"/>
      <c r="H275" s="215"/>
      <c r="I275" s="271"/>
      <c r="J275" s="272"/>
      <c r="K275" s="215"/>
      <c r="L275" s="217"/>
      <c r="M275" s="217"/>
    </row>
    <row r="276" spans="1:13" ht="35.1" customHeight="1" x14ac:dyDescent="0.25">
      <c r="A276" s="206"/>
      <c r="B276" s="203"/>
      <c r="C276" s="198"/>
      <c r="D276" s="209">
        <f t="shared" si="4"/>
        <v>0</v>
      </c>
      <c r="E276" s="220"/>
      <c r="F276" s="212"/>
      <c r="G276" s="215"/>
      <c r="H276" s="215"/>
      <c r="I276" s="271"/>
      <c r="J276" s="272"/>
      <c r="K276" s="215"/>
      <c r="L276" s="217"/>
      <c r="M276" s="217"/>
    </row>
    <row r="277" spans="1:13" ht="35.1" customHeight="1" x14ac:dyDescent="0.25">
      <c r="A277" s="206"/>
      <c r="B277" s="203"/>
      <c r="C277" s="198"/>
      <c r="D277" s="209">
        <f t="shared" si="4"/>
        <v>0</v>
      </c>
      <c r="E277" s="220"/>
      <c r="F277" s="212"/>
      <c r="G277" s="215"/>
      <c r="H277" s="215"/>
      <c r="I277" s="271"/>
      <c r="J277" s="272"/>
      <c r="K277" s="215"/>
      <c r="L277" s="217"/>
      <c r="M277" s="217"/>
    </row>
    <row r="278" spans="1:13" ht="35.1" customHeight="1" x14ac:dyDescent="0.25">
      <c r="A278" s="206"/>
      <c r="B278" s="203"/>
      <c r="C278" s="198"/>
      <c r="D278" s="209">
        <f t="shared" si="4"/>
        <v>0</v>
      </c>
      <c r="E278" s="220"/>
      <c r="F278" s="212"/>
      <c r="G278" s="215"/>
      <c r="H278" s="215"/>
      <c r="I278" s="271"/>
      <c r="J278" s="272"/>
      <c r="K278" s="215"/>
      <c r="L278" s="217"/>
      <c r="M278" s="217"/>
    </row>
    <row r="279" spans="1:13" ht="35.1" customHeight="1" x14ac:dyDescent="0.25">
      <c r="A279" s="206"/>
      <c r="B279" s="203"/>
      <c r="C279" s="198"/>
      <c r="D279" s="209">
        <f t="shared" si="4"/>
        <v>0</v>
      </c>
      <c r="E279" s="220"/>
      <c r="F279" s="212"/>
      <c r="G279" s="215"/>
      <c r="H279" s="215"/>
      <c r="I279" s="271"/>
      <c r="J279" s="272"/>
      <c r="K279" s="215"/>
      <c r="L279" s="217"/>
      <c r="M279" s="217"/>
    </row>
    <row r="280" spans="1:13" ht="35.1" customHeight="1" x14ac:dyDescent="0.25">
      <c r="A280" s="206"/>
      <c r="B280" s="203"/>
      <c r="C280" s="198"/>
      <c r="D280" s="209">
        <f t="shared" si="4"/>
        <v>0</v>
      </c>
      <c r="E280" s="220"/>
      <c r="F280" s="212"/>
      <c r="G280" s="215"/>
      <c r="H280" s="215"/>
      <c r="I280" s="271"/>
      <c r="J280" s="272"/>
      <c r="K280" s="215"/>
      <c r="L280" s="217"/>
      <c r="M280" s="217"/>
    </row>
    <row r="281" spans="1:13" ht="35.1" customHeight="1" x14ac:dyDescent="0.25">
      <c r="A281" s="206"/>
      <c r="B281" s="203"/>
      <c r="C281" s="198"/>
      <c r="D281" s="209">
        <f t="shared" si="4"/>
        <v>0</v>
      </c>
      <c r="E281" s="220"/>
      <c r="F281" s="212"/>
      <c r="G281" s="215"/>
      <c r="H281" s="215"/>
      <c r="I281" s="271"/>
      <c r="J281" s="272"/>
      <c r="K281" s="215"/>
      <c r="L281" s="217"/>
      <c r="M281" s="217"/>
    </row>
    <row r="282" spans="1:13" ht="35.1" customHeight="1" x14ac:dyDescent="0.25">
      <c r="A282" s="206"/>
      <c r="B282" s="203"/>
      <c r="C282" s="198"/>
      <c r="D282" s="209">
        <f t="shared" si="4"/>
        <v>0</v>
      </c>
      <c r="E282" s="220"/>
      <c r="F282" s="212"/>
      <c r="G282" s="215"/>
      <c r="H282" s="215"/>
      <c r="I282" s="271"/>
      <c r="J282" s="272"/>
      <c r="K282" s="215"/>
      <c r="L282" s="217"/>
      <c r="M282" s="217"/>
    </row>
    <row r="283" spans="1:13" ht="35.1" customHeight="1" x14ac:dyDescent="0.25">
      <c r="A283" s="206"/>
      <c r="B283" s="203"/>
      <c r="C283" s="198"/>
      <c r="D283" s="209">
        <f t="shared" si="4"/>
        <v>0</v>
      </c>
      <c r="E283" s="220"/>
      <c r="F283" s="212"/>
      <c r="G283" s="215"/>
      <c r="H283" s="215"/>
      <c r="I283" s="271"/>
      <c r="J283" s="272"/>
      <c r="K283" s="215"/>
      <c r="L283" s="217"/>
      <c r="M283" s="217"/>
    </row>
    <row r="284" spans="1:13" ht="35.1" customHeight="1" x14ac:dyDescent="0.25">
      <c r="A284" s="206"/>
      <c r="B284" s="203"/>
      <c r="C284" s="198"/>
      <c r="D284" s="209">
        <f t="shared" si="4"/>
        <v>0</v>
      </c>
      <c r="E284" s="220"/>
      <c r="F284" s="212"/>
      <c r="G284" s="215"/>
      <c r="H284" s="215"/>
      <c r="I284" s="271"/>
      <c r="J284" s="272"/>
      <c r="K284" s="215"/>
      <c r="L284" s="217"/>
      <c r="M284" s="217"/>
    </row>
    <row r="285" spans="1:13" ht="35.1" customHeight="1" x14ac:dyDescent="0.25">
      <c r="A285" s="206"/>
      <c r="B285" s="203"/>
      <c r="C285" s="198"/>
      <c r="D285" s="209">
        <f t="shared" si="4"/>
        <v>0</v>
      </c>
      <c r="E285" s="220"/>
      <c r="F285" s="212"/>
      <c r="G285" s="215"/>
      <c r="H285" s="215"/>
      <c r="I285" s="271"/>
      <c r="J285" s="272"/>
      <c r="K285" s="215"/>
      <c r="L285" s="217"/>
      <c r="M285" s="217"/>
    </row>
    <row r="286" spans="1:13" ht="35.1" customHeight="1" x14ac:dyDescent="0.25">
      <c r="A286" s="206"/>
      <c r="B286" s="203"/>
      <c r="C286" s="198"/>
      <c r="D286" s="209">
        <f t="shared" si="4"/>
        <v>0</v>
      </c>
      <c r="E286" s="220"/>
      <c r="F286" s="212"/>
      <c r="G286" s="215"/>
      <c r="H286" s="215"/>
      <c r="I286" s="271"/>
      <c r="J286" s="272"/>
      <c r="K286" s="215"/>
      <c r="L286" s="217"/>
      <c r="M286" s="217"/>
    </row>
    <row r="287" spans="1:13" ht="35.1" customHeight="1" x14ac:dyDescent="0.25">
      <c r="A287" s="206"/>
      <c r="B287" s="203"/>
      <c r="C287" s="198"/>
      <c r="D287" s="209">
        <f t="shared" si="4"/>
        <v>0</v>
      </c>
      <c r="E287" s="220"/>
      <c r="F287" s="212"/>
      <c r="G287" s="215"/>
      <c r="H287" s="215"/>
      <c r="I287" s="271"/>
      <c r="J287" s="272"/>
      <c r="K287" s="215"/>
      <c r="L287" s="217"/>
      <c r="M287" s="217"/>
    </row>
    <row r="288" spans="1:13" ht="35.1" customHeight="1" x14ac:dyDescent="0.25">
      <c r="A288" s="206"/>
      <c r="B288" s="203"/>
      <c r="C288" s="198"/>
      <c r="D288" s="209">
        <f t="shared" si="4"/>
        <v>0</v>
      </c>
      <c r="E288" s="220"/>
      <c r="F288" s="212"/>
      <c r="G288" s="215"/>
      <c r="H288" s="215"/>
      <c r="I288" s="271"/>
      <c r="J288" s="272"/>
      <c r="K288" s="215"/>
      <c r="L288" s="217"/>
      <c r="M288" s="217"/>
    </row>
    <row r="289" spans="1:13" ht="35.1" customHeight="1" x14ac:dyDescent="0.25">
      <c r="A289" s="206"/>
      <c r="B289" s="203"/>
      <c r="C289" s="198"/>
      <c r="D289" s="209">
        <f t="shared" si="4"/>
        <v>0</v>
      </c>
      <c r="E289" s="220"/>
      <c r="F289" s="212"/>
      <c r="G289" s="215"/>
      <c r="H289" s="215"/>
      <c r="I289" s="271"/>
      <c r="J289" s="272"/>
      <c r="K289" s="215"/>
      <c r="L289" s="217"/>
      <c r="M289" s="217"/>
    </row>
    <row r="290" spans="1:13" ht="35.1" customHeight="1" x14ac:dyDescent="0.25">
      <c r="A290" s="206"/>
      <c r="B290" s="203"/>
      <c r="C290" s="198"/>
      <c r="D290" s="209">
        <f t="shared" si="4"/>
        <v>0</v>
      </c>
      <c r="E290" s="220"/>
      <c r="F290" s="212"/>
      <c r="G290" s="215"/>
      <c r="H290" s="215"/>
      <c r="I290" s="271"/>
      <c r="J290" s="272"/>
      <c r="K290" s="215"/>
      <c r="L290" s="217"/>
      <c r="M290" s="217"/>
    </row>
    <row r="291" spans="1:13" ht="35.1" customHeight="1" x14ac:dyDescent="0.25">
      <c r="A291" s="206"/>
      <c r="B291" s="203"/>
      <c r="C291" s="198"/>
      <c r="D291" s="209">
        <f t="shared" si="4"/>
        <v>0</v>
      </c>
      <c r="E291" s="220"/>
      <c r="F291" s="212"/>
      <c r="G291" s="215"/>
      <c r="H291" s="215"/>
      <c r="I291" s="271"/>
      <c r="J291" s="272"/>
      <c r="K291" s="215"/>
      <c r="L291" s="217"/>
      <c r="M291" s="217"/>
    </row>
    <row r="292" spans="1:13" ht="35.1" customHeight="1" x14ac:dyDescent="0.25">
      <c r="A292" s="206"/>
      <c r="B292" s="203"/>
      <c r="C292" s="198"/>
      <c r="D292" s="209">
        <f t="shared" si="4"/>
        <v>0</v>
      </c>
      <c r="E292" s="220"/>
      <c r="F292" s="212"/>
      <c r="G292" s="215"/>
      <c r="H292" s="215"/>
      <c r="I292" s="271"/>
      <c r="J292" s="272"/>
      <c r="K292" s="215"/>
      <c r="L292" s="217"/>
      <c r="M292" s="217"/>
    </row>
    <row r="293" spans="1:13" ht="35.1" customHeight="1" x14ac:dyDescent="0.25">
      <c r="A293" s="206"/>
      <c r="B293" s="203"/>
      <c r="C293" s="198"/>
      <c r="D293" s="209">
        <f t="shared" si="4"/>
        <v>0</v>
      </c>
      <c r="E293" s="220"/>
      <c r="F293" s="212"/>
      <c r="G293" s="215"/>
      <c r="H293" s="215"/>
      <c r="I293" s="271"/>
      <c r="J293" s="272"/>
      <c r="K293" s="215"/>
      <c r="L293" s="217"/>
      <c r="M293" s="217"/>
    </row>
    <row r="294" spans="1:13" ht="35.1" customHeight="1" x14ac:dyDescent="0.25">
      <c r="A294" s="206"/>
      <c r="B294" s="203"/>
      <c r="C294" s="198"/>
      <c r="D294" s="209">
        <f t="shared" si="4"/>
        <v>0</v>
      </c>
      <c r="E294" s="220"/>
      <c r="F294" s="212"/>
      <c r="G294" s="215"/>
      <c r="H294" s="215"/>
      <c r="I294" s="271"/>
      <c r="J294" s="272"/>
      <c r="K294" s="215"/>
      <c r="L294" s="217"/>
      <c r="M294" s="217"/>
    </row>
    <row r="295" spans="1:13" ht="35.1" customHeight="1" x14ac:dyDescent="0.25">
      <c r="A295" s="206"/>
      <c r="B295" s="203"/>
      <c r="C295" s="198"/>
      <c r="D295" s="209">
        <f t="shared" ref="D295:D358" si="5">C295-B295</f>
        <v>0</v>
      </c>
      <c r="E295" s="220"/>
      <c r="F295" s="212"/>
      <c r="G295" s="215"/>
      <c r="H295" s="215"/>
      <c r="I295" s="271"/>
      <c r="J295" s="272"/>
      <c r="K295" s="215"/>
      <c r="L295" s="217"/>
      <c r="M295" s="217"/>
    </row>
    <row r="296" spans="1:13" ht="35.1" customHeight="1" x14ac:dyDescent="0.25">
      <c r="A296" s="206"/>
      <c r="B296" s="203"/>
      <c r="C296" s="198"/>
      <c r="D296" s="209">
        <f t="shared" si="5"/>
        <v>0</v>
      </c>
      <c r="E296" s="220"/>
      <c r="F296" s="212"/>
      <c r="G296" s="215"/>
      <c r="H296" s="215"/>
      <c r="I296" s="271"/>
      <c r="J296" s="272"/>
      <c r="K296" s="215"/>
      <c r="L296" s="217"/>
      <c r="M296" s="217"/>
    </row>
    <row r="297" spans="1:13" ht="35.1" customHeight="1" x14ac:dyDescent="0.25">
      <c r="A297" s="206"/>
      <c r="B297" s="203"/>
      <c r="C297" s="198"/>
      <c r="D297" s="209">
        <f t="shared" si="5"/>
        <v>0</v>
      </c>
      <c r="E297" s="220"/>
      <c r="F297" s="212"/>
      <c r="G297" s="215"/>
      <c r="H297" s="215"/>
      <c r="I297" s="271"/>
      <c r="J297" s="272"/>
      <c r="K297" s="215"/>
      <c r="L297" s="217"/>
      <c r="M297" s="217"/>
    </row>
    <row r="298" spans="1:13" ht="35.1" customHeight="1" x14ac:dyDescent="0.25">
      <c r="A298" s="206"/>
      <c r="B298" s="203"/>
      <c r="C298" s="198"/>
      <c r="D298" s="209">
        <f t="shared" si="5"/>
        <v>0</v>
      </c>
      <c r="E298" s="220"/>
      <c r="F298" s="212"/>
      <c r="G298" s="215"/>
      <c r="H298" s="215"/>
      <c r="I298" s="271"/>
      <c r="J298" s="272"/>
      <c r="K298" s="215"/>
      <c r="L298" s="217"/>
      <c r="M298" s="217"/>
    </row>
    <row r="299" spans="1:13" ht="35.1" customHeight="1" x14ac:dyDescent="0.25">
      <c r="A299" s="206"/>
      <c r="B299" s="203"/>
      <c r="C299" s="198"/>
      <c r="D299" s="209">
        <f t="shared" si="5"/>
        <v>0</v>
      </c>
      <c r="E299" s="220"/>
      <c r="F299" s="212"/>
      <c r="G299" s="215"/>
      <c r="H299" s="215"/>
      <c r="I299" s="271"/>
      <c r="J299" s="272"/>
      <c r="K299" s="215"/>
      <c r="L299" s="217"/>
      <c r="M299" s="217"/>
    </row>
    <row r="300" spans="1:13" ht="35.1" customHeight="1" x14ac:dyDescent="0.25">
      <c r="A300" s="206"/>
      <c r="B300" s="203"/>
      <c r="C300" s="198"/>
      <c r="D300" s="209">
        <f t="shared" si="5"/>
        <v>0</v>
      </c>
      <c r="E300" s="220"/>
      <c r="F300" s="212"/>
      <c r="G300" s="215"/>
      <c r="H300" s="215"/>
      <c r="I300" s="271"/>
      <c r="J300" s="272"/>
      <c r="K300" s="215"/>
      <c r="L300" s="217"/>
      <c r="M300" s="217"/>
    </row>
    <row r="301" spans="1:13" ht="35.1" customHeight="1" x14ac:dyDescent="0.25">
      <c r="A301" s="206"/>
      <c r="B301" s="203"/>
      <c r="C301" s="198"/>
      <c r="D301" s="209">
        <f t="shared" si="5"/>
        <v>0</v>
      </c>
      <c r="E301" s="220"/>
      <c r="F301" s="212"/>
      <c r="G301" s="215"/>
      <c r="H301" s="215"/>
      <c r="I301" s="271"/>
      <c r="J301" s="272"/>
      <c r="K301" s="215"/>
      <c r="L301" s="217"/>
      <c r="M301" s="217"/>
    </row>
    <row r="302" spans="1:13" ht="35.1" customHeight="1" x14ac:dyDescent="0.25">
      <c r="A302" s="206"/>
      <c r="B302" s="203"/>
      <c r="C302" s="198"/>
      <c r="D302" s="209">
        <f t="shared" si="5"/>
        <v>0</v>
      </c>
      <c r="E302" s="220"/>
      <c r="F302" s="212"/>
      <c r="G302" s="215"/>
      <c r="H302" s="215"/>
      <c r="I302" s="271"/>
      <c r="J302" s="272"/>
      <c r="K302" s="215"/>
      <c r="L302" s="217"/>
      <c r="M302" s="217"/>
    </row>
    <row r="303" spans="1:13" ht="35.1" customHeight="1" x14ac:dyDescent="0.25">
      <c r="A303" s="206"/>
      <c r="B303" s="203"/>
      <c r="C303" s="198"/>
      <c r="D303" s="209">
        <f t="shared" si="5"/>
        <v>0</v>
      </c>
      <c r="E303" s="220"/>
      <c r="F303" s="212"/>
      <c r="G303" s="215"/>
      <c r="H303" s="215"/>
      <c r="I303" s="271"/>
      <c r="J303" s="272"/>
      <c r="K303" s="215"/>
      <c r="L303" s="217"/>
      <c r="M303" s="217"/>
    </row>
    <row r="304" spans="1:13" ht="35.1" customHeight="1" x14ac:dyDescent="0.25">
      <c r="A304" s="206"/>
      <c r="B304" s="203"/>
      <c r="C304" s="198"/>
      <c r="D304" s="209">
        <f t="shared" si="5"/>
        <v>0</v>
      </c>
      <c r="E304" s="220"/>
      <c r="F304" s="212"/>
      <c r="G304" s="215"/>
      <c r="H304" s="215"/>
      <c r="I304" s="271"/>
      <c r="J304" s="272"/>
      <c r="K304" s="215"/>
      <c r="L304" s="217"/>
      <c r="M304" s="217"/>
    </row>
    <row r="305" spans="1:13" ht="35.1" customHeight="1" x14ac:dyDescent="0.25">
      <c r="A305" s="206"/>
      <c r="B305" s="203"/>
      <c r="C305" s="198"/>
      <c r="D305" s="209">
        <f t="shared" si="5"/>
        <v>0</v>
      </c>
      <c r="E305" s="220"/>
      <c r="F305" s="212"/>
      <c r="G305" s="215"/>
      <c r="H305" s="215"/>
      <c r="I305" s="271"/>
      <c r="J305" s="272"/>
      <c r="K305" s="215"/>
      <c r="L305" s="217"/>
      <c r="M305" s="217"/>
    </row>
    <row r="306" spans="1:13" ht="35.1" customHeight="1" x14ac:dyDescent="0.25">
      <c r="A306" s="206"/>
      <c r="B306" s="203"/>
      <c r="C306" s="198"/>
      <c r="D306" s="209">
        <f t="shared" si="5"/>
        <v>0</v>
      </c>
      <c r="E306" s="220"/>
      <c r="F306" s="212"/>
      <c r="G306" s="215"/>
      <c r="H306" s="215"/>
      <c r="I306" s="271"/>
      <c r="J306" s="272"/>
      <c r="K306" s="215"/>
      <c r="L306" s="217"/>
      <c r="M306" s="217"/>
    </row>
    <row r="307" spans="1:13" ht="35.1" customHeight="1" x14ac:dyDescent="0.25">
      <c r="A307" s="206"/>
      <c r="B307" s="203"/>
      <c r="C307" s="198"/>
      <c r="D307" s="209">
        <f t="shared" si="5"/>
        <v>0</v>
      </c>
      <c r="E307" s="220"/>
      <c r="F307" s="212"/>
      <c r="G307" s="215"/>
      <c r="H307" s="215"/>
      <c r="I307" s="271"/>
      <c r="J307" s="272"/>
      <c r="K307" s="215"/>
      <c r="L307" s="217"/>
      <c r="M307" s="217"/>
    </row>
    <row r="308" spans="1:13" ht="35.1" customHeight="1" x14ac:dyDescent="0.25">
      <c r="A308" s="206"/>
      <c r="B308" s="203"/>
      <c r="C308" s="198"/>
      <c r="D308" s="209">
        <f t="shared" si="5"/>
        <v>0</v>
      </c>
      <c r="E308" s="220"/>
      <c r="F308" s="212"/>
      <c r="G308" s="215"/>
      <c r="H308" s="215"/>
      <c r="I308" s="271"/>
      <c r="J308" s="272"/>
      <c r="K308" s="215"/>
      <c r="L308" s="217"/>
      <c r="M308" s="217"/>
    </row>
    <row r="309" spans="1:13" ht="35.1" customHeight="1" x14ac:dyDescent="0.25">
      <c r="A309" s="206"/>
      <c r="B309" s="203"/>
      <c r="C309" s="198"/>
      <c r="D309" s="209">
        <f t="shared" si="5"/>
        <v>0</v>
      </c>
      <c r="E309" s="220"/>
      <c r="F309" s="212"/>
      <c r="G309" s="215"/>
      <c r="H309" s="215"/>
      <c r="I309" s="271"/>
      <c r="J309" s="272"/>
      <c r="K309" s="215"/>
      <c r="L309" s="217"/>
      <c r="M309" s="217"/>
    </row>
    <row r="310" spans="1:13" ht="35.1" customHeight="1" x14ac:dyDescent="0.25">
      <c r="A310" s="206"/>
      <c r="B310" s="203"/>
      <c r="C310" s="198"/>
      <c r="D310" s="209">
        <f t="shared" si="5"/>
        <v>0</v>
      </c>
      <c r="E310" s="220"/>
      <c r="F310" s="212"/>
      <c r="G310" s="215"/>
      <c r="H310" s="215"/>
      <c r="I310" s="271"/>
      <c r="J310" s="272"/>
      <c r="K310" s="215"/>
      <c r="L310" s="217"/>
      <c r="M310" s="217"/>
    </row>
    <row r="311" spans="1:13" ht="35.1" customHeight="1" x14ac:dyDescent="0.25">
      <c r="A311" s="205"/>
      <c r="B311" s="202"/>
      <c r="C311" s="201"/>
      <c r="D311" s="208">
        <f t="shared" si="5"/>
        <v>0</v>
      </c>
      <c r="E311" s="219"/>
      <c r="F311" s="211"/>
      <c r="G311" s="214"/>
      <c r="H311" s="214"/>
      <c r="I311" s="273"/>
      <c r="J311" s="274"/>
      <c r="K311" s="214"/>
      <c r="L311" s="216"/>
      <c r="M311" s="216"/>
    </row>
    <row r="312" spans="1:13" ht="35.1" customHeight="1" x14ac:dyDescent="0.25">
      <c r="A312" s="206"/>
      <c r="B312" s="203"/>
      <c r="C312" s="198"/>
      <c r="D312" s="209">
        <f t="shared" si="5"/>
        <v>0</v>
      </c>
      <c r="E312" s="220"/>
      <c r="F312" s="212"/>
      <c r="G312" s="215"/>
      <c r="H312" s="215"/>
      <c r="I312" s="271"/>
      <c r="J312" s="272"/>
      <c r="K312" s="215"/>
      <c r="L312" s="217"/>
      <c r="M312" s="217"/>
    </row>
    <row r="313" spans="1:13" ht="35.1" customHeight="1" x14ac:dyDescent="0.25">
      <c r="A313" s="206"/>
      <c r="B313" s="203"/>
      <c r="C313" s="198"/>
      <c r="D313" s="209">
        <f t="shared" si="5"/>
        <v>0</v>
      </c>
      <c r="E313" s="220"/>
      <c r="F313" s="212"/>
      <c r="G313" s="215"/>
      <c r="H313" s="215"/>
      <c r="I313" s="271"/>
      <c r="J313" s="272"/>
      <c r="K313" s="215"/>
      <c r="L313" s="217"/>
      <c r="M313" s="217"/>
    </row>
    <row r="314" spans="1:13" ht="35.1" customHeight="1" x14ac:dyDescent="0.25">
      <c r="A314" s="206"/>
      <c r="B314" s="203"/>
      <c r="C314" s="198"/>
      <c r="D314" s="209">
        <f t="shared" si="5"/>
        <v>0</v>
      </c>
      <c r="E314" s="220"/>
      <c r="F314" s="212"/>
      <c r="G314" s="215"/>
      <c r="H314" s="215"/>
      <c r="I314" s="271"/>
      <c r="J314" s="272"/>
      <c r="K314" s="215"/>
      <c r="L314" s="217"/>
      <c r="M314" s="217"/>
    </row>
    <row r="315" spans="1:13" ht="35.1" customHeight="1" x14ac:dyDescent="0.25">
      <c r="A315" s="206"/>
      <c r="B315" s="203"/>
      <c r="C315" s="198"/>
      <c r="D315" s="209">
        <f t="shared" si="5"/>
        <v>0</v>
      </c>
      <c r="E315" s="220"/>
      <c r="F315" s="212"/>
      <c r="G315" s="215"/>
      <c r="H315" s="215"/>
      <c r="I315" s="271"/>
      <c r="J315" s="272"/>
      <c r="K315" s="215"/>
      <c r="L315" s="217"/>
      <c r="M315" s="217"/>
    </row>
    <row r="316" spans="1:13" ht="35.1" customHeight="1" x14ac:dyDescent="0.25">
      <c r="A316" s="206"/>
      <c r="B316" s="203"/>
      <c r="C316" s="198"/>
      <c r="D316" s="209">
        <f t="shared" si="5"/>
        <v>0</v>
      </c>
      <c r="E316" s="220"/>
      <c r="F316" s="212"/>
      <c r="G316" s="215"/>
      <c r="H316" s="215"/>
      <c r="I316" s="271"/>
      <c r="J316" s="272"/>
      <c r="K316" s="215"/>
      <c r="L316" s="217"/>
      <c r="M316" s="217"/>
    </row>
    <row r="317" spans="1:13" ht="35.1" customHeight="1" x14ac:dyDescent="0.25">
      <c r="A317" s="206"/>
      <c r="B317" s="203"/>
      <c r="C317" s="198"/>
      <c r="D317" s="209">
        <f t="shared" si="5"/>
        <v>0</v>
      </c>
      <c r="E317" s="220"/>
      <c r="F317" s="212"/>
      <c r="G317" s="215"/>
      <c r="H317" s="215"/>
      <c r="I317" s="271"/>
      <c r="J317" s="272"/>
      <c r="K317" s="215"/>
      <c r="L317" s="217"/>
      <c r="M317" s="217"/>
    </row>
    <row r="318" spans="1:13" ht="35.1" customHeight="1" x14ac:dyDescent="0.25">
      <c r="A318" s="206"/>
      <c r="B318" s="203"/>
      <c r="C318" s="198"/>
      <c r="D318" s="209">
        <f t="shared" si="5"/>
        <v>0</v>
      </c>
      <c r="E318" s="220"/>
      <c r="F318" s="212"/>
      <c r="G318" s="215"/>
      <c r="H318" s="215"/>
      <c r="I318" s="271"/>
      <c r="J318" s="272"/>
      <c r="K318" s="215"/>
      <c r="L318" s="217"/>
      <c r="M318" s="217"/>
    </row>
    <row r="319" spans="1:13" ht="35.1" customHeight="1" x14ac:dyDescent="0.25">
      <c r="A319" s="206"/>
      <c r="B319" s="203"/>
      <c r="C319" s="198"/>
      <c r="D319" s="209">
        <f t="shared" si="5"/>
        <v>0</v>
      </c>
      <c r="E319" s="220"/>
      <c r="F319" s="212"/>
      <c r="G319" s="215"/>
      <c r="H319" s="215"/>
      <c r="I319" s="271"/>
      <c r="J319" s="272"/>
      <c r="K319" s="215"/>
      <c r="L319" s="217"/>
      <c r="M319" s="217"/>
    </row>
    <row r="320" spans="1:13" ht="35.1" customHeight="1" x14ac:dyDescent="0.25">
      <c r="A320" s="206"/>
      <c r="B320" s="203"/>
      <c r="C320" s="198"/>
      <c r="D320" s="209">
        <f t="shared" si="5"/>
        <v>0</v>
      </c>
      <c r="E320" s="220"/>
      <c r="F320" s="212"/>
      <c r="G320" s="215"/>
      <c r="H320" s="215"/>
      <c r="I320" s="271"/>
      <c r="J320" s="272"/>
      <c r="K320" s="215"/>
      <c r="L320" s="217"/>
      <c r="M320" s="217"/>
    </row>
    <row r="321" spans="1:13" ht="35.1" customHeight="1" x14ac:dyDescent="0.25">
      <c r="A321" s="206"/>
      <c r="B321" s="203"/>
      <c r="C321" s="198"/>
      <c r="D321" s="209">
        <f t="shared" si="5"/>
        <v>0</v>
      </c>
      <c r="E321" s="220"/>
      <c r="F321" s="212"/>
      <c r="G321" s="215"/>
      <c r="H321" s="215"/>
      <c r="I321" s="271"/>
      <c r="J321" s="272"/>
      <c r="K321" s="215"/>
      <c r="L321" s="217"/>
      <c r="M321" s="217"/>
    </row>
    <row r="322" spans="1:13" ht="35.1" customHeight="1" x14ac:dyDescent="0.25">
      <c r="A322" s="206"/>
      <c r="B322" s="203"/>
      <c r="C322" s="198"/>
      <c r="D322" s="209">
        <f t="shared" si="5"/>
        <v>0</v>
      </c>
      <c r="E322" s="220"/>
      <c r="F322" s="212"/>
      <c r="G322" s="215"/>
      <c r="H322" s="215"/>
      <c r="I322" s="271"/>
      <c r="J322" s="272"/>
      <c r="K322" s="215"/>
      <c r="L322" s="217"/>
      <c r="M322" s="217"/>
    </row>
    <row r="323" spans="1:13" ht="35.1" customHeight="1" x14ac:dyDescent="0.25">
      <c r="A323" s="206"/>
      <c r="B323" s="203"/>
      <c r="C323" s="198"/>
      <c r="D323" s="209">
        <f t="shared" si="5"/>
        <v>0</v>
      </c>
      <c r="E323" s="220"/>
      <c r="F323" s="212"/>
      <c r="G323" s="215"/>
      <c r="H323" s="215"/>
      <c r="I323" s="271"/>
      <c r="J323" s="272"/>
      <c r="K323" s="215"/>
      <c r="L323" s="217"/>
      <c r="M323" s="217"/>
    </row>
    <row r="324" spans="1:13" ht="35.1" customHeight="1" x14ac:dyDescent="0.25">
      <c r="A324" s="206"/>
      <c r="B324" s="203"/>
      <c r="C324" s="198"/>
      <c r="D324" s="209">
        <f t="shared" si="5"/>
        <v>0</v>
      </c>
      <c r="E324" s="220"/>
      <c r="F324" s="212"/>
      <c r="G324" s="215"/>
      <c r="H324" s="215"/>
      <c r="I324" s="271"/>
      <c r="J324" s="272"/>
      <c r="K324" s="215"/>
      <c r="L324" s="217"/>
      <c r="M324" s="217"/>
    </row>
    <row r="325" spans="1:13" ht="35.1" customHeight="1" x14ac:dyDescent="0.25">
      <c r="A325" s="206"/>
      <c r="B325" s="203"/>
      <c r="C325" s="198"/>
      <c r="D325" s="209">
        <f t="shared" si="5"/>
        <v>0</v>
      </c>
      <c r="E325" s="220"/>
      <c r="F325" s="212"/>
      <c r="G325" s="215"/>
      <c r="H325" s="215"/>
      <c r="I325" s="271"/>
      <c r="J325" s="272"/>
      <c r="K325" s="215"/>
      <c r="L325" s="217"/>
      <c r="M325" s="217"/>
    </row>
    <row r="326" spans="1:13" ht="35.1" customHeight="1" x14ac:dyDescent="0.25">
      <c r="A326" s="206"/>
      <c r="B326" s="203"/>
      <c r="C326" s="198"/>
      <c r="D326" s="209">
        <f t="shared" si="5"/>
        <v>0</v>
      </c>
      <c r="E326" s="220"/>
      <c r="F326" s="212"/>
      <c r="G326" s="215"/>
      <c r="H326" s="215"/>
      <c r="I326" s="271"/>
      <c r="J326" s="272"/>
      <c r="K326" s="215"/>
      <c r="L326" s="217"/>
      <c r="M326" s="217"/>
    </row>
    <row r="327" spans="1:13" ht="35.1" customHeight="1" x14ac:dyDescent="0.25">
      <c r="A327" s="206"/>
      <c r="B327" s="203"/>
      <c r="C327" s="198"/>
      <c r="D327" s="209">
        <f t="shared" si="5"/>
        <v>0</v>
      </c>
      <c r="E327" s="220"/>
      <c r="F327" s="212"/>
      <c r="G327" s="215"/>
      <c r="H327" s="215"/>
      <c r="I327" s="271"/>
      <c r="J327" s="272"/>
      <c r="K327" s="215"/>
      <c r="L327" s="217"/>
      <c r="M327" s="217"/>
    </row>
    <row r="328" spans="1:13" ht="35.1" customHeight="1" x14ac:dyDescent="0.25">
      <c r="A328" s="206"/>
      <c r="B328" s="203"/>
      <c r="C328" s="198"/>
      <c r="D328" s="209">
        <f t="shared" si="5"/>
        <v>0</v>
      </c>
      <c r="E328" s="220"/>
      <c r="F328" s="212"/>
      <c r="G328" s="215"/>
      <c r="H328" s="215"/>
      <c r="I328" s="271"/>
      <c r="J328" s="272"/>
      <c r="K328" s="215"/>
      <c r="L328" s="217"/>
      <c r="M328" s="217"/>
    </row>
    <row r="329" spans="1:13" ht="35.1" customHeight="1" x14ac:dyDescent="0.25">
      <c r="A329" s="206"/>
      <c r="B329" s="203"/>
      <c r="C329" s="198"/>
      <c r="D329" s="209">
        <f t="shared" si="5"/>
        <v>0</v>
      </c>
      <c r="E329" s="220"/>
      <c r="F329" s="212"/>
      <c r="G329" s="215"/>
      <c r="H329" s="215"/>
      <c r="I329" s="271"/>
      <c r="J329" s="272"/>
      <c r="K329" s="215"/>
      <c r="L329" s="217"/>
      <c r="M329" s="217"/>
    </row>
    <row r="330" spans="1:13" ht="35.1" customHeight="1" x14ac:dyDescent="0.25">
      <c r="A330" s="206"/>
      <c r="B330" s="203"/>
      <c r="C330" s="198"/>
      <c r="D330" s="209">
        <f t="shared" si="5"/>
        <v>0</v>
      </c>
      <c r="E330" s="220"/>
      <c r="F330" s="212"/>
      <c r="G330" s="215"/>
      <c r="H330" s="215"/>
      <c r="I330" s="271"/>
      <c r="J330" s="272"/>
      <c r="K330" s="215"/>
      <c r="L330" s="217"/>
      <c r="M330" s="217"/>
    </row>
    <row r="331" spans="1:13" ht="35.1" customHeight="1" x14ac:dyDescent="0.25">
      <c r="A331" s="206"/>
      <c r="B331" s="203"/>
      <c r="C331" s="198"/>
      <c r="D331" s="209">
        <f t="shared" si="5"/>
        <v>0</v>
      </c>
      <c r="E331" s="220"/>
      <c r="F331" s="212"/>
      <c r="G331" s="215"/>
      <c r="H331" s="215"/>
      <c r="I331" s="271"/>
      <c r="J331" s="272"/>
      <c r="K331" s="215"/>
      <c r="L331" s="217"/>
      <c r="M331" s="217"/>
    </row>
    <row r="332" spans="1:13" ht="35.1" customHeight="1" x14ac:dyDescent="0.25">
      <c r="A332" s="206"/>
      <c r="B332" s="203"/>
      <c r="C332" s="198"/>
      <c r="D332" s="209">
        <f t="shared" si="5"/>
        <v>0</v>
      </c>
      <c r="E332" s="220"/>
      <c r="F332" s="212"/>
      <c r="G332" s="215"/>
      <c r="H332" s="215"/>
      <c r="I332" s="271"/>
      <c r="J332" s="272"/>
      <c r="K332" s="215"/>
      <c r="L332" s="217"/>
      <c r="M332" s="217"/>
    </row>
    <row r="333" spans="1:13" ht="35.1" customHeight="1" x14ac:dyDescent="0.25">
      <c r="A333" s="206"/>
      <c r="B333" s="203"/>
      <c r="C333" s="198"/>
      <c r="D333" s="209">
        <f t="shared" si="5"/>
        <v>0</v>
      </c>
      <c r="E333" s="220"/>
      <c r="F333" s="212"/>
      <c r="G333" s="215"/>
      <c r="H333" s="215"/>
      <c r="I333" s="271"/>
      <c r="J333" s="272"/>
      <c r="K333" s="215"/>
      <c r="L333" s="217"/>
      <c r="M333" s="217"/>
    </row>
    <row r="334" spans="1:13" ht="35.1" customHeight="1" x14ac:dyDescent="0.25">
      <c r="A334" s="206"/>
      <c r="B334" s="203"/>
      <c r="C334" s="198"/>
      <c r="D334" s="209">
        <f t="shared" si="5"/>
        <v>0</v>
      </c>
      <c r="E334" s="220"/>
      <c r="F334" s="212"/>
      <c r="G334" s="215"/>
      <c r="H334" s="215"/>
      <c r="I334" s="271"/>
      <c r="J334" s="272"/>
      <c r="K334" s="215"/>
      <c r="L334" s="217"/>
      <c r="M334" s="217"/>
    </row>
    <row r="335" spans="1:13" ht="35.1" customHeight="1" x14ac:dyDescent="0.25">
      <c r="A335" s="206"/>
      <c r="B335" s="203"/>
      <c r="C335" s="198"/>
      <c r="D335" s="209">
        <f t="shared" si="5"/>
        <v>0</v>
      </c>
      <c r="E335" s="220"/>
      <c r="F335" s="212"/>
      <c r="G335" s="215"/>
      <c r="H335" s="215"/>
      <c r="I335" s="271"/>
      <c r="J335" s="272"/>
      <c r="K335" s="215"/>
      <c r="L335" s="217"/>
      <c r="M335" s="217"/>
    </row>
    <row r="336" spans="1:13" ht="35.1" customHeight="1" x14ac:dyDescent="0.25">
      <c r="A336" s="206"/>
      <c r="B336" s="203"/>
      <c r="C336" s="198"/>
      <c r="D336" s="209">
        <f t="shared" si="5"/>
        <v>0</v>
      </c>
      <c r="E336" s="220"/>
      <c r="F336" s="212"/>
      <c r="G336" s="215"/>
      <c r="H336" s="215"/>
      <c r="I336" s="271"/>
      <c r="J336" s="272"/>
      <c r="K336" s="215"/>
      <c r="L336" s="217"/>
      <c r="M336" s="217"/>
    </row>
    <row r="337" spans="1:13" ht="35.1" customHeight="1" x14ac:dyDescent="0.25">
      <c r="A337" s="206"/>
      <c r="B337" s="203"/>
      <c r="C337" s="198"/>
      <c r="D337" s="209">
        <f t="shared" si="5"/>
        <v>0</v>
      </c>
      <c r="E337" s="220"/>
      <c r="F337" s="212"/>
      <c r="G337" s="215"/>
      <c r="H337" s="215"/>
      <c r="I337" s="271"/>
      <c r="J337" s="272"/>
      <c r="K337" s="215"/>
      <c r="L337" s="217"/>
      <c r="M337" s="217"/>
    </row>
    <row r="338" spans="1:13" ht="35.1" customHeight="1" x14ac:dyDescent="0.25">
      <c r="A338" s="206"/>
      <c r="B338" s="203"/>
      <c r="C338" s="198"/>
      <c r="D338" s="209">
        <f t="shared" si="5"/>
        <v>0</v>
      </c>
      <c r="E338" s="220"/>
      <c r="F338" s="212"/>
      <c r="G338" s="215"/>
      <c r="H338" s="215"/>
      <c r="I338" s="271"/>
      <c r="J338" s="272"/>
      <c r="K338" s="215"/>
      <c r="L338" s="217"/>
      <c r="M338" s="217"/>
    </row>
    <row r="339" spans="1:13" ht="35.1" customHeight="1" x14ac:dyDescent="0.25">
      <c r="A339" s="206"/>
      <c r="B339" s="203"/>
      <c r="C339" s="198"/>
      <c r="D339" s="209">
        <f t="shared" si="5"/>
        <v>0</v>
      </c>
      <c r="E339" s="220"/>
      <c r="F339" s="212"/>
      <c r="G339" s="215"/>
      <c r="H339" s="215"/>
      <c r="I339" s="271"/>
      <c r="J339" s="272"/>
      <c r="K339" s="215"/>
      <c r="L339" s="217"/>
      <c r="M339" s="217"/>
    </row>
    <row r="340" spans="1:13" ht="35.1" customHeight="1" x14ac:dyDescent="0.25">
      <c r="A340" s="206"/>
      <c r="B340" s="203"/>
      <c r="C340" s="198"/>
      <c r="D340" s="209">
        <f t="shared" si="5"/>
        <v>0</v>
      </c>
      <c r="E340" s="220"/>
      <c r="F340" s="212"/>
      <c r="G340" s="215"/>
      <c r="H340" s="215"/>
      <c r="I340" s="271"/>
      <c r="J340" s="272"/>
      <c r="K340" s="215"/>
      <c r="L340" s="217"/>
      <c r="M340" s="217"/>
    </row>
    <row r="341" spans="1:13" ht="35.1" customHeight="1" x14ac:dyDescent="0.25">
      <c r="A341" s="206"/>
      <c r="B341" s="203"/>
      <c r="C341" s="198"/>
      <c r="D341" s="209">
        <f t="shared" si="5"/>
        <v>0</v>
      </c>
      <c r="E341" s="220"/>
      <c r="F341" s="212"/>
      <c r="G341" s="215"/>
      <c r="H341" s="215"/>
      <c r="I341" s="271"/>
      <c r="J341" s="272"/>
      <c r="K341" s="215"/>
      <c r="L341" s="217"/>
      <c r="M341" s="217"/>
    </row>
    <row r="342" spans="1:13" ht="35.1" customHeight="1" x14ac:dyDescent="0.25">
      <c r="A342" s="206"/>
      <c r="B342" s="203"/>
      <c r="C342" s="198"/>
      <c r="D342" s="209">
        <f t="shared" si="5"/>
        <v>0</v>
      </c>
      <c r="E342" s="220"/>
      <c r="F342" s="212"/>
      <c r="G342" s="215"/>
      <c r="H342" s="215"/>
      <c r="I342" s="271"/>
      <c r="J342" s="272"/>
      <c r="K342" s="215"/>
      <c r="L342" s="217"/>
      <c r="M342" s="217"/>
    </row>
    <row r="343" spans="1:13" ht="35.1" customHeight="1" x14ac:dyDescent="0.25">
      <c r="A343" s="206"/>
      <c r="B343" s="203"/>
      <c r="C343" s="198"/>
      <c r="D343" s="209">
        <f t="shared" si="5"/>
        <v>0</v>
      </c>
      <c r="E343" s="220"/>
      <c r="F343" s="212"/>
      <c r="G343" s="215"/>
      <c r="H343" s="215"/>
      <c r="I343" s="271"/>
      <c r="J343" s="272"/>
      <c r="K343" s="215"/>
      <c r="L343" s="217"/>
      <c r="M343" s="217"/>
    </row>
    <row r="344" spans="1:13" ht="35.1" customHeight="1" x14ac:dyDescent="0.25">
      <c r="A344" s="206"/>
      <c r="B344" s="203"/>
      <c r="C344" s="198"/>
      <c r="D344" s="209">
        <f t="shared" si="5"/>
        <v>0</v>
      </c>
      <c r="E344" s="220"/>
      <c r="F344" s="212"/>
      <c r="G344" s="215"/>
      <c r="H344" s="215"/>
      <c r="I344" s="271"/>
      <c r="J344" s="272"/>
      <c r="K344" s="215"/>
      <c r="L344" s="217"/>
      <c r="M344" s="217"/>
    </row>
    <row r="345" spans="1:13" ht="35.1" customHeight="1" x14ac:dyDescent="0.25">
      <c r="A345" s="206"/>
      <c r="B345" s="203"/>
      <c r="C345" s="198"/>
      <c r="D345" s="209">
        <f t="shared" si="5"/>
        <v>0</v>
      </c>
      <c r="E345" s="220"/>
      <c r="F345" s="212"/>
      <c r="G345" s="215"/>
      <c r="H345" s="215"/>
      <c r="I345" s="271"/>
      <c r="J345" s="272"/>
      <c r="K345" s="215"/>
      <c r="L345" s="217"/>
      <c r="M345" s="217"/>
    </row>
    <row r="346" spans="1:13" ht="35.1" customHeight="1" x14ac:dyDescent="0.25">
      <c r="A346" s="206"/>
      <c r="B346" s="203"/>
      <c r="C346" s="198"/>
      <c r="D346" s="209">
        <f t="shared" si="5"/>
        <v>0</v>
      </c>
      <c r="E346" s="220"/>
      <c r="F346" s="212"/>
      <c r="G346" s="215"/>
      <c r="H346" s="215"/>
      <c r="I346" s="271"/>
      <c r="J346" s="272"/>
      <c r="K346" s="215"/>
      <c r="L346" s="217"/>
      <c r="M346" s="217"/>
    </row>
    <row r="347" spans="1:13" ht="35.1" customHeight="1" x14ac:dyDescent="0.25">
      <c r="A347" s="206"/>
      <c r="B347" s="203"/>
      <c r="C347" s="198"/>
      <c r="D347" s="209">
        <f t="shared" si="5"/>
        <v>0</v>
      </c>
      <c r="E347" s="220"/>
      <c r="F347" s="212"/>
      <c r="G347" s="215"/>
      <c r="H347" s="215"/>
      <c r="I347" s="271"/>
      <c r="J347" s="272"/>
      <c r="K347" s="215"/>
      <c r="L347" s="217"/>
      <c r="M347" s="217"/>
    </row>
    <row r="348" spans="1:13" ht="35.1" customHeight="1" x14ac:dyDescent="0.25">
      <c r="A348" s="206"/>
      <c r="B348" s="203"/>
      <c r="C348" s="198"/>
      <c r="D348" s="209">
        <f t="shared" si="5"/>
        <v>0</v>
      </c>
      <c r="E348" s="220"/>
      <c r="F348" s="212"/>
      <c r="G348" s="215"/>
      <c r="H348" s="215"/>
      <c r="I348" s="271"/>
      <c r="J348" s="272"/>
      <c r="K348" s="215"/>
      <c r="L348" s="217"/>
      <c r="M348" s="217"/>
    </row>
    <row r="349" spans="1:13" ht="35.1" customHeight="1" x14ac:dyDescent="0.25">
      <c r="A349" s="206"/>
      <c r="B349" s="203"/>
      <c r="C349" s="198"/>
      <c r="D349" s="209">
        <f t="shared" si="5"/>
        <v>0</v>
      </c>
      <c r="E349" s="220"/>
      <c r="F349" s="212"/>
      <c r="G349" s="215"/>
      <c r="H349" s="215"/>
      <c r="I349" s="271"/>
      <c r="J349" s="272"/>
      <c r="K349" s="215"/>
      <c r="L349" s="217"/>
      <c r="M349" s="217"/>
    </row>
    <row r="350" spans="1:13" ht="35.1" customHeight="1" x14ac:dyDescent="0.25">
      <c r="A350" s="206"/>
      <c r="B350" s="203"/>
      <c r="C350" s="198"/>
      <c r="D350" s="209">
        <f t="shared" si="5"/>
        <v>0</v>
      </c>
      <c r="E350" s="220"/>
      <c r="F350" s="212"/>
      <c r="G350" s="215"/>
      <c r="H350" s="215"/>
      <c r="I350" s="271"/>
      <c r="J350" s="272"/>
      <c r="K350" s="215"/>
      <c r="L350" s="217"/>
      <c r="M350" s="217"/>
    </row>
    <row r="351" spans="1:13" ht="35.1" customHeight="1" x14ac:dyDescent="0.25">
      <c r="A351" s="206"/>
      <c r="B351" s="203"/>
      <c r="C351" s="198"/>
      <c r="D351" s="209">
        <f t="shared" si="5"/>
        <v>0</v>
      </c>
      <c r="E351" s="220"/>
      <c r="F351" s="212"/>
      <c r="G351" s="215"/>
      <c r="H351" s="215"/>
      <c r="I351" s="271"/>
      <c r="J351" s="272"/>
      <c r="K351" s="215"/>
      <c r="L351" s="217"/>
      <c r="M351" s="217"/>
    </row>
    <row r="352" spans="1:13" ht="35.1" customHeight="1" x14ac:dyDescent="0.25">
      <c r="A352" s="206"/>
      <c r="B352" s="203"/>
      <c r="C352" s="198"/>
      <c r="D352" s="209">
        <f t="shared" si="5"/>
        <v>0</v>
      </c>
      <c r="E352" s="220"/>
      <c r="F352" s="212"/>
      <c r="G352" s="215"/>
      <c r="H352" s="215"/>
      <c r="I352" s="271"/>
      <c r="J352" s="272"/>
      <c r="K352" s="215"/>
      <c r="L352" s="217"/>
      <c r="M352" s="217"/>
    </row>
    <row r="353" spans="1:13" ht="35.1" customHeight="1" x14ac:dyDescent="0.25">
      <c r="A353" s="206"/>
      <c r="B353" s="203"/>
      <c r="C353" s="198"/>
      <c r="D353" s="209">
        <f t="shared" si="5"/>
        <v>0</v>
      </c>
      <c r="E353" s="220"/>
      <c r="F353" s="212"/>
      <c r="G353" s="215"/>
      <c r="H353" s="215"/>
      <c r="I353" s="271"/>
      <c r="J353" s="272"/>
      <c r="K353" s="215"/>
      <c r="L353" s="217"/>
      <c r="M353" s="217"/>
    </row>
    <row r="354" spans="1:13" ht="35.1" customHeight="1" x14ac:dyDescent="0.25">
      <c r="A354" s="206"/>
      <c r="B354" s="203"/>
      <c r="C354" s="198"/>
      <c r="D354" s="209">
        <f t="shared" si="5"/>
        <v>0</v>
      </c>
      <c r="E354" s="220"/>
      <c r="F354" s="212"/>
      <c r="G354" s="215"/>
      <c r="H354" s="215"/>
      <c r="I354" s="271"/>
      <c r="J354" s="272"/>
      <c r="K354" s="215"/>
      <c r="L354" s="217"/>
      <c r="M354" s="217"/>
    </row>
    <row r="355" spans="1:13" ht="35.1" customHeight="1" x14ac:dyDescent="0.25">
      <c r="A355" s="206"/>
      <c r="B355" s="203"/>
      <c r="C355" s="198"/>
      <c r="D355" s="209">
        <f t="shared" si="5"/>
        <v>0</v>
      </c>
      <c r="E355" s="220"/>
      <c r="F355" s="212"/>
      <c r="G355" s="215"/>
      <c r="H355" s="215"/>
      <c r="I355" s="271"/>
      <c r="J355" s="272"/>
      <c r="K355" s="215"/>
      <c r="L355" s="217"/>
      <c r="M355" s="217"/>
    </row>
    <row r="356" spans="1:13" ht="35.1" customHeight="1" x14ac:dyDescent="0.25">
      <c r="A356" s="206"/>
      <c r="B356" s="203"/>
      <c r="C356" s="198"/>
      <c r="D356" s="209">
        <f t="shared" si="5"/>
        <v>0</v>
      </c>
      <c r="E356" s="220"/>
      <c r="F356" s="212"/>
      <c r="G356" s="215"/>
      <c r="H356" s="215"/>
      <c r="I356" s="271"/>
      <c r="J356" s="272"/>
      <c r="K356" s="215"/>
      <c r="L356" s="217"/>
      <c r="M356" s="217"/>
    </row>
    <row r="357" spans="1:13" ht="35.1" customHeight="1" x14ac:dyDescent="0.25">
      <c r="A357" s="206"/>
      <c r="B357" s="203"/>
      <c r="C357" s="198"/>
      <c r="D357" s="209">
        <f t="shared" si="5"/>
        <v>0</v>
      </c>
      <c r="E357" s="220"/>
      <c r="F357" s="212"/>
      <c r="G357" s="215"/>
      <c r="H357" s="215"/>
      <c r="I357" s="271"/>
      <c r="J357" s="272"/>
      <c r="K357" s="215"/>
      <c r="L357" s="217"/>
      <c r="M357" s="217"/>
    </row>
    <row r="358" spans="1:13" ht="35.1" customHeight="1" x14ac:dyDescent="0.25">
      <c r="A358" s="206"/>
      <c r="B358" s="203"/>
      <c r="C358" s="198"/>
      <c r="D358" s="209">
        <f t="shared" si="5"/>
        <v>0</v>
      </c>
      <c r="E358" s="220"/>
      <c r="F358" s="212"/>
      <c r="G358" s="215"/>
      <c r="H358" s="215"/>
      <c r="I358" s="271"/>
      <c r="J358" s="272"/>
      <c r="K358" s="215"/>
      <c r="L358" s="217"/>
      <c r="M358" s="217"/>
    </row>
    <row r="359" spans="1:13" ht="35.1" customHeight="1" x14ac:dyDescent="0.25">
      <c r="A359" s="206"/>
      <c r="B359" s="203"/>
      <c r="C359" s="198"/>
      <c r="D359" s="209">
        <f t="shared" ref="D359:D422" si="6">C359-B359</f>
        <v>0</v>
      </c>
      <c r="E359" s="220"/>
      <c r="F359" s="212"/>
      <c r="G359" s="215"/>
      <c r="H359" s="215"/>
      <c r="I359" s="271"/>
      <c r="J359" s="272"/>
      <c r="K359" s="215"/>
      <c r="L359" s="217"/>
      <c r="M359" s="217"/>
    </row>
    <row r="360" spans="1:13" ht="35.1" customHeight="1" x14ac:dyDescent="0.25">
      <c r="A360" s="206"/>
      <c r="B360" s="203"/>
      <c r="C360" s="198"/>
      <c r="D360" s="209">
        <f t="shared" si="6"/>
        <v>0</v>
      </c>
      <c r="E360" s="220"/>
      <c r="F360" s="212"/>
      <c r="G360" s="215"/>
      <c r="H360" s="215"/>
      <c r="I360" s="271"/>
      <c r="J360" s="272"/>
      <c r="K360" s="215"/>
      <c r="L360" s="217"/>
      <c r="M360" s="217"/>
    </row>
    <row r="361" spans="1:13" ht="35.1" customHeight="1" x14ac:dyDescent="0.25">
      <c r="A361" s="206"/>
      <c r="B361" s="203"/>
      <c r="C361" s="198"/>
      <c r="D361" s="209">
        <f t="shared" si="6"/>
        <v>0</v>
      </c>
      <c r="E361" s="220"/>
      <c r="F361" s="212"/>
      <c r="G361" s="215"/>
      <c r="H361" s="215"/>
      <c r="I361" s="271"/>
      <c r="J361" s="272"/>
      <c r="K361" s="215"/>
      <c r="L361" s="217"/>
      <c r="M361" s="217"/>
    </row>
    <row r="362" spans="1:13" ht="35.1" customHeight="1" x14ac:dyDescent="0.25">
      <c r="A362" s="206"/>
      <c r="B362" s="203"/>
      <c r="C362" s="198"/>
      <c r="D362" s="209">
        <f t="shared" si="6"/>
        <v>0</v>
      </c>
      <c r="E362" s="220"/>
      <c r="F362" s="212"/>
      <c r="G362" s="215"/>
      <c r="H362" s="215"/>
      <c r="I362" s="271"/>
      <c r="J362" s="272"/>
      <c r="K362" s="215"/>
      <c r="L362" s="217"/>
      <c r="M362" s="217"/>
    </row>
    <row r="363" spans="1:13" ht="35.1" customHeight="1" x14ac:dyDescent="0.25">
      <c r="A363" s="205"/>
      <c r="B363" s="202"/>
      <c r="C363" s="201"/>
      <c r="D363" s="208">
        <f t="shared" si="6"/>
        <v>0</v>
      </c>
      <c r="E363" s="219"/>
      <c r="F363" s="211"/>
      <c r="G363" s="214"/>
      <c r="H363" s="214"/>
      <c r="I363" s="273"/>
      <c r="J363" s="274"/>
      <c r="K363" s="214"/>
      <c r="L363" s="216"/>
      <c r="M363" s="216"/>
    </row>
    <row r="364" spans="1:13" ht="35.1" customHeight="1" x14ac:dyDescent="0.25">
      <c r="A364" s="206"/>
      <c r="B364" s="203"/>
      <c r="C364" s="198"/>
      <c r="D364" s="209">
        <f t="shared" si="6"/>
        <v>0</v>
      </c>
      <c r="E364" s="220"/>
      <c r="F364" s="212"/>
      <c r="G364" s="215"/>
      <c r="H364" s="215"/>
      <c r="I364" s="271"/>
      <c r="J364" s="272"/>
      <c r="K364" s="215"/>
      <c r="L364" s="217"/>
      <c r="M364" s="217"/>
    </row>
    <row r="365" spans="1:13" ht="35.1" customHeight="1" x14ac:dyDescent="0.25">
      <c r="A365" s="206"/>
      <c r="B365" s="203"/>
      <c r="C365" s="198"/>
      <c r="D365" s="209">
        <f t="shared" si="6"/>
        <v>0</v>
      </c>
      <c r="E365" s="220"/>
      <c r="F365" s="212"/>
      <c r="G365" s="215"/>
      <c r="H365" s="215"/>
      <c r="I365" s="271"/>
      <c r="J365" s="272"/>
      <c r="K365" s="215"/>
      <c r="L365" s="217"/>
      <c r="M365" s="217"/>
    </row>
    <row r="366" spans="1:13" ht="35.1" customHeight="1" x14ac:dyDescent="0.25">
      <c r="A366" s="206"/>
      <c r="B366" s="203"/>
      <c r="C366" s="198"/>
      <c r="D366" s="209">
        <f t="shared" si="6"/>
        <v>0</v>
      </c>
      <c r="E366" s="220"/>
      <c r="F366" s="212"/>
      <c r="G366" s="215"/>
      <c r="H366" s="215"/>
      <c r="I366" s="271"/>
      <c r="J366" s="272"/>
      <c r="K366" s="215"/>
      <c r="L366" s="217"/>
      <c r="M366" s="217"/>
    </row>
    <row r="367" spans="1:13" ht="35.1" customHeight="1" x14ac:dyDescent="0.25">
      <c r="A367" s="206"/>
      <c r="B367" s="203"/>
      <c r="C367" s="198"/>
      <c r="D367" s="209">
        <f t="shared" si="6"/>
        <v>0</v>
      </c>
      <c r="E367" s="220"/>
      <c r="F367" s="212"/>
      <c r="G367" s="215"/>
      <c r="H367" s="215"/>
      <c r="I367" s="271"/>
      <c r="J367" s="272"/>
      <c r="K367" s="215"/>
      <c r="L367" s="217"/>
      <c r="M367" s="217"/>
    </row>
    <row r="368" spans="1:13" ht="35.1" customHeight="1" x14ac:dyDescent="0.25">
      <c r="A368" s="206"/>
      <c r="B368" s="203"/>
      <c r="C368" s="198"/>
      <c r="D368" s="209">
        <f t="shared" si="6"/>
        <v>0</v>
      </c>
      <c r="E368" s="220"/>
      <c r="F368" s="212"/>
      <c r="G368" s="215"/>
      <c r="H368" s="215"/>
      <c r="I368" s="271"/>
      <c r="J368" s="272"/>
      <c r="K368" s="215"/>
      <c r="L368" s="217"/>
      <c r="M368" s="217"/>
    </row>
    <row r="369" spans="1:13" ht="35.1" customHeight="1" x14ac:dyDescent="0.25">
      <c r="A369" s="206"/>
      <c r="B369" s="203"/>
      <c r="C369" s="198"/>
      <c r="D369" s="209">
        <f t="shared" si="6"/>
        <v>0</v>
      </c>
      <c r="E369" s="220"/>
      <c r="F369" s="212"/>
      <c r="G369" s="215"/>
      <c r="H369" s="215"/>
      <c r="I369" s="271"/>
      <c r="J369" s="272"/>
      <c r="K369" s="215"/>
      <c r="L369" s="217"/>
      <c r="M369" s="217"/>
    </row>
    <row r="370" spans="1:13" ht="35.1" customHeight="1" x14ac:dyDescent="0.25">
      <c r="A370" s="206"/>
      <c r="B370" s="203"/>
      <c r="C370" s="198"/>
      <c r="D370" s="209">
        <f t="shared" si="6"/>
        <v>0</v>
      </c>
      <c r="E370" s="220"/>
      <c r="F370" s="212"/>
      <c r="G370" s="215"/>
      <c r="H370" s="215"/>
      <c r="I370" s="271"/>
      <c r="J370" s="272"/>
      <c r="K370" s="215"/>
      <c r="L370" s="217"/>
      <c r="M370" s="217"/>
    </row>
    <row r="371" spans="1:13" ht="35.1" customHeight="1" x14ac:dyDescent="0.25">
      <c r="A371" s="206"/>
      <c r="B371" s="203"/>
      <c r="C371" s="198"/>
      <c r="D371" s="209">
        <f t="shared" si="6"/>
        <v>0</v>
      </c>
      <c r="E371" s="220"/>
      <c r="F371" s="212"/>
      <c r="G371" s="215"/>
      <c r="H371" s="215"/>
      <c r="I371" s="271"/>
      <c r="J371" s="272"/>
      <c r="K371" s="215"/>
      <c r="L371" s="217"/>
      <c r="M371" s="217"/>
    </row>
    <row r="372" spans="1:13" ht="35.1" customHeight="1" x14ac:dyDescent="0.25">
      <c r="A372" s="206"/>
      <c r="B372" s="203"/>
      <c r="C372" s="198"/>
      <c r="D372" s="209">
        <f t="shared" si="6"/>
        <v>0</v>
      </c>
      <c r="E372" s="220"/>
      <c r="F372" s="212"/>
      <c r="G372" s="215"/>
      <c r="H372" s="215"/>
      <c r="I372" s="271"/>
      <c r="J372" s="272"/>
      <c r="K372" s="215"/>
      <c r="L372" s="217"/>
      <c r="M372" s="217"/>
    </row>
    <row r="373" spans="1:13" ht="35.1" customHeight="1" x14ac:dyDescent="0.25">
      <c r="A373" s="206"/>
      <c r="B373" s="203"/>
      <c r="C373" s="198"/>
      <c r="D373" s="209">
        <f t="shared" si="6"/>
        <v>0</v>
      </c>
      <c r="E373" s="220"/>
      <c r="F373" s="212"/>
      <c r="G373" s="215"/>
      <c r="H373" s="215"/>
      <c r="I373" s="271"/>
      <c r="J373" s="272"/>
      <c r="K373" s="215"/>
      <c r="L373" s="217"/>
      <c r="M373" s="217"/>
    </row>
    <row r="374" spans="1:13" ht="35.1" customHeight="1" x14ac:dyDescent="0.25">
      <c r="A374" s="206"/>
      <c r="B374" s="203"/>
      <c r="C374" s="198"/>
      <c r="D374" s="209">
        <f t="shared" si="6"/>
        <v>0</v>
      </c>
      <c r="E374" s="220"/>
      <c r="F374" s="212"/>
      <c r="G374" s="215"/>
      <c r="H374" s="215"/>
      <c r="I374" s="271"/>
      <c r="J374" s="272"/>
      <c r="K374" s="215"/>
      <c r="L374" s="217"/>
      <c r="M374" s="217"/>
    </row>
    <row r="375" spans="1:13" ht="35.1" customHeight="1" x14ac:dyDescent="0.25">
      <c r="A375" s="206"/>
      <c r="B375" s="203"/>
      <c r="C375" s="198"/>
      <c r="D375" s="209">
        <f t="shared" si="6"/>
        <v>0</v>
      </c>
      <c r="E375" s="220"/>
      <c r="F375" s="212"/>
      <c r="G375" s="215"/>
      <c r="H375" s="215"/>
      <c r="I375" s="271"/>
      <c r="J375" s="272"/>
      <c r="K375" s="215"/>
      <c r="L375" s="217"/>
      <c r="M375" s="217"/>
    </row>
    <row r="376" spans="1:13" ht="35.1" customHeight="1" x14ac:dyDescent="0.25">
      <c r="A376" s="206"/>
      <c r="B376" s="203"/>
      <c r="C376" s="198"/>
      <c r="D376" s="209">
        <f t="shared" si="6"/>
        <v>0</v>
      </c>
      <c r="E376" s="220"/>
      <c r="F376" s="212"/>
      <c r="G376" s="215"/>
      <c r="H376" s="215"/>
      <c r="I376" s="271"/>
      <c r="J376" s="272"/>
      <c r="K376" s="215"/>
      <c r="L376" s="217"/>
      <c r="M376" s="217"/>
    </row>
    <row r="377" spans="1:13" ht="35.1" customHeight="1" x14ac:dyDescent="0.25">
      <c r="A377" s="206"/>
      <c r="B377" s="203"/>
      <c r="C377" s="198"/>
      <c r="D377" s="209">
        <f t="shared" si="6"/>
        <v>0</v>
      </c>
      <c r="E377" s="220"/>
      <c r="F377" s="212"/>
      <c r="G377" s="215"/>
      <c r="H377" s="215"/>
      <c r="I377" s="271"/>
      <c r="J377" s="272"/>
      <c r="K377" s="215"/>
      <c r="L377" s="217"/>
      <c r="M377" s="217"/>
    </row>
    <row r="378" spans="1:13" ht="35.1" customHeight="1" x14ac:dyDescent="0.25">
      <c r="A378" s="206"/>
      <c r="B378" s="203"/>
      <c r="C378" s="198"/>
      <c r="D378" s="209">
        <f t="shared" si="6"/>
        <v>0</v>
      </c>
      <c r="E378" s="220"/>
      <c r="F378" s="212"/>
      <c r="G378" s="215"/>
      <c r="H378" s="215"/>
      <c r="I378" s="271"/>
      <c r="J378" s="272"/>
      <c r="K378" s="215"/>
      <c r="L378" s="217"/>
      <c r="M378" s="217"/>
    </row>
    <row r="379" spans="1:13" ht="35.1" customHeight="1" x14ac:dyDescent="0.25">
      <c r="A379" s="206"/>
      <c r="B379" s="203"/>
      <c r="C379" s="198"/>
      <c r="D379" s="209">
        <f t="shared" si="6"/>
        <v>0</v>
      </c>
      <c r="E379" s="220"/>
      <c r="F379" s="212"/>
      <c r="G379" s="215"/>
      <c r="H379" s="215"/>
      <c r="I379" s="271"/>
      <c r="J379" s="272"/>
      <c r="K379" s="215"/>
      <c r="L379" s="217"/>
      <c r="M379" s="217"/>
    </row>
    <row r="380" spans="1:13" ht="35.1" customHeight="1" x14ac:dyDescent="0.25">
      <c r="A380" s="206"/>
      <c r="B380" s="203"/>
      <c r="C380" s="198"/>
      <c r="D380" s="209">
        <f t="shared" si="6"/>
        <v>0</v>
      </c>
      <c r="E380" s="220"/>
      <c r="F380" s="212"/>
      <c r="G380" s="215"/>
      <c r="H380" s="215"/>
      <c r="I380" s="271"/>
      <c r="J380" s="272"/>
      <c r="K380" s="215"/>
      <c r="L380" s="217"/>
      <c r="M380" s="217"/>
    </row>
    <row r="381" spans="1:13" ht="35.1" customHeight="1" x14ac:dyDescent="0.25">
      <c r="A381" s="206"/>
      <c r="B381" s="203"/>
      <c r="C381" s="198"/>
      <c r="D381" s="209">
        <f t="shared" si="6"/>
        <v>0</v>
      </c>
      <c r="E381" s="220"/>
      <c r="F381" s="212"/>
      <c r="G381" s="215"/>
      <c r="H381" s="215"/>
      <c r="I381" s="271"/>
      <c r="J381" s="272"/>
      <c r="K381" s="215"/>
      <c r="L381" s="217"/>
      <c r="M381" s="217"/>
    </row>
    <row r="382" spans="1:13" ht="35.1" customHeight="1" x14ac:dyDescent="0.25">
      <c r="A382" s="206"/>
      <c r="B382" s="203"/>
      <c r="C382" s="198"/>
      <c r="D382" s="209">
        <f t="shared" si="6"/>
        <v>0</v>
      </c>
      <c r="E382" s="220"/>
      <c r="F382" s="212"/>
      <c r="G382" s="215"/>
      <c r="H382" s="215"/>
      <c r="I382" s="271"/>
      <c r="J382" s="272"/>
      <c r="K382" s="215"/>
      <c r="L382" s="217"/>
      <c r="M382" s="217"/>
    </row>
    <row r="383" spans="1:13" ht="35.1" customHeight="1" x14ac:dyDescent="0.25">
      <c r="A383" s="206"/>
      <c r="B383" s="203"/>
      <c r="C383" s="198"/>
      <c r="D383" s="209">
        <f t="shared" si="6"/>
        <v>0</v>
      </c>
      <c r="E383" s="220"/>
      <c r="F383" s="212"/>
      <c r="G383" s="215"/>
      <c r="H383" s="215"/>
      <c r="I383" s="271"/>
      <c r="J383" s="272"/>
      <c r="K383" s="215"/>
      <c r="L383" s="217"/>
      <c r="M383" s="217"/>
    </row>
    <row r="384" spans="1:13" ht="35.1" customHeight="1" x14ac:dyDescent="0.25">
      <c r="A384" s="206"/>
      <c r="B384" s="203"/>
      <c r="C384" s="198"/>
      <c r="D384" s="209">
        <f t="shared" si="6"/>
        <v>0</v>
      </c>
      <c r="E384" s="220"/>
      <c r="F384" s="212"/>
      <c r="G384" s="215"/>
      <c r="H384" s="215"/>
      <c r="I384" s="271"/>
      <c r="J384" s="272"/>
      <c r="K384" s="215"/>
      <c r="L384" s="217"/>
      <c r="M384" s="217"/>
    </row>
    <row r="385" spans="1:13" ht="35.1" customHeight="1" x14ac:dyDescent="0.25">
      <c r="A385" s="206"/>
      <c r="B385" s="203"/>
      <c r="C385" s="198"/>
      <c r="D385" s="209">
        <f t="shared" si="6"/>
        <v>0</v>
      </c>
      <c r="E385" s="220"/>
      <c r="F385" s="212"/>
      <c r="G385" s="215"/>
      <c r="H385" s="215"/>
      <c r="I385" s="271"/>
      <c r="J385" s="272"/>
      <c r="K385" s="215"/>
      <c r="L385" s="217"/>
      <c r="M385" s="217"/>
    </row>
    <row r="386" spans="1:13" ht="35.1" customHeight="1" x14ac:dyDescent="0.25">
      <c r="A386" s="206"/>
      <c r="B386" s="203"/>
      <c r="C386" s="198"/>
      <c r="D386" s="209">
        <f t="shared" si="6"/>
        <v>0</v>
      </c>
      <c r="E386" s="220"/>
      <c r="F386" s="212"/>
      <c r="G386" s="215"/>
      <c r="H386" s="215"/>
      <c r="I386" s="271"/>
      <c r="J386" s="272"/>
      <c r="K386" s="215"/>
      <c r="L386" s="217"/>
      <c r="M386" s="217"/>
    </row>
    <row r="387" spans="1:13" ht="35.1" customHeight="1" x14ac:dyDescent="0.25">
      <c r="A387" s="206"/>
      <c r="B387" s="203"/>
      <c r="C387" s="198"/>
      <c r="D387" s="209">
        <f t="shared" si="6"/>
        <v>0</v>
      </c>
      <c r="E387" s="220"/>
      <c r="F387" s="212"/>
      <c r="G387" s="215"/>
      <c r="H387" s="215"/>
      <c r="I387" s="271"/>
      <c r="J387" s="272"/>
      <c r="K387" s="215"/>
      <c r="L387" s="217"/>
      <c r="M387" s="217"/>
    </row>
    <row r="388" spans="1:13" ht="35.1" customHeight="1" x14ac:dyDescent="0.25">
      <c r="A388" s="206"/>
      <c r="B388" s="203"/>
      <c r="C388" s="198"/>
      <c r="D388" s="209">
        <f t="shared" si="6"/>
        <v>0</v>
      </c>
      <c r="E388" s="220"/>
      <c r="F388" s="212"/>
      <c r="G388" s="215"/>
      <c r="H388" s="215"/>
      <c r="I388" s="271"/>
      <c r="J388" s="272"/>
      <c r="K388" s="215"/>
      <c r="L388" s="217"/>
      <c r="M388" s="217"/>
    </row>
    <row r="389" spans="1:13" ht="35.1" customHeight="1" x14ac:dyDescent="0.25">
      <c r="A389" s="206"/>
      <c r="B389" s="203"/>
      <c r="C389" s="198"/>
      <c r="D389" s="209">
        <f t="shared" si="6"/>
        <v>0</v>
      </c>
      <c r="E389" s="220"/>
      <c r="F389" s="212"/>
      <c r="G389" s="215"/>
      <c r="H389" s="215"/>
      <c r="I389" s="271"/>
      <c r="J389" s="272"/>
      <c r="K389" s="215"/>
      <c r="L389" s="217"/>
      <c r="M389" s="217"/>
    </row>
    <row r="390" spans="1:13" ht="35.1" customHeight="1" x14ac:dyDescent="0.25">
      <c r="A390" s="206"/>
      <c r="B390" s="203"/>
      <c r="C390" s="198"/>
      <c r="D390" s="209">
        <f t="shared" si="6"/>
        <v>0</v>
      </c>
      <c r="E390" s="220"/>
      <c r="F390" s="212"/>
      <c r="G390" s="215"/>
      <c r="H390" s="215"/>
      <c r="I390" s="271"/>
      <c r="J390" s="272"/>
      <c r="K390" s="215"/>
      <c r="L390" s="217"/>
      <c r="M390" s="217"/>
    </row>
    <row r="391" spans="1:13" ht="35.1" customHeight="1" x14ac:dyDescent="0.25">
      <c r="A391" s="206"/>
      <c r="B391" s="203"/>
      <c r="C391" s="198"/>
      <c r="D391" s="209">
        <f t="shared" si="6"/>
        <v>0</v>
      </c>
      <c r="E391" s="220"/>
      <c r="F391" s="212"/>
      <c r="G391" s="215"/>
      <c r="H391" s="215"/>
      <c r="I391" s="271"/>
      <c r="J391" s="272"/>
      <c r="K391" s="215"/>
      <c r="L391" s="217"/>
      <c r="M391" s="217"/>
    </row>
    <row r="392" spans="1:13" ht="35.1" customHeight="1" x14ac:dyDescent="0.25">
      <c r="A392" s="206"/>
      <c r="B392" s="203"/>
      <c r="C392" s="198"/>
      <c r="D392" s="209">
        <f t="shared" si="6"/>
        <v>0</v>
      </c>
      <c r="E392" s="220"/>
      <c r="F392" s="212"/>
      <c r="G392" s="215"/>
      <c r="H392" s="215"/>
      <c r="I392" s="271"/>
      <c r="J392" s="272"/>
      <c r="K392" s="215"/>
      <c r="L392" s="217"/>
      <c r="M392" s="217"/>
    </row>
    <row r="393" spans="1:13" ht="35.1" customHeight="1" x14ac:dyDescent="0.25">
      <c r="A393" s="206"/>
      <c r="B393" s="203"/>
      <c r="C393" s="198"/>
      <c r="D393" s="209">
        <f t="shared" si="6"/>
        <v>0</v>
      </c>
      <c r="E393" s="220"/>
      <c r="F393" s="212"/>
      <c r="G393" s="215"/>
      <c r="H393" s="215"/>
      <c r="I393" s="271"/>
      <c r="J393" s="272"/>
      <c r="K393" s="215"/>
      <c r="L393" s="217"/>
      <c r="M393" s="217"/>
    </row>
    <row r="394" spans="1:13" ht="35.1" customHeight="1" x14ac:dyDescent="0.25">
      <c r="A394" s="206"/>
      <c r="B394" s="203"/>
      <c r="C394" s="198"/>
      <c r="D394" s="209">
        <f t="shared" si="6"/>
        <v>0</v>
      </c>
      <c r="E394" s="220"/>
      <c r="F394" s="212"/>
      <c r="G394" s="215"/>
      <c r="H394" s="215"/>
      <c r="I394" s="271"/>
      <c r="J394" s="272"/>
      <c r="K394" s="215"/>
      <c r="L394" s="217"/>
      <c r="M394" s="217"/>
    </row>
    <row r="395" spans="1:13" ht="35.1" customHeight="1" x14ac:dyDescent="0.25">
      <c r="A395" s="206"/>
      <c r="B395" s="203"/>
      <c r="C395" s="198"/>
      <c r="D395" s="209">
        <f t="shared" si="6"/>
        <v>0</v>
      </c>
      <c r="E395" s="220"/>
      <c r="F395" s="212"/>
      <c r="G395" s="215"/>
      <c r="H395" s="215"/>
      <c r="I395" s="271"/>
      <c r="J395" s="272"/>
      <c r="K395" s="215"/>
      <c r="L395" s="217"/>
      <c r="M395" s="217"/>
    </row>
    <row r="396" spans="1:13" ht="35.1" customHeight="1" x14ac:dyDescent="0.25">
      <c r="A396" s="206"/>
      <c r="B396" s="203"/>
      <c r="C396" s="198"/>
      <c r="D396" s="209">
        <f t="shared" si="6"/>
        <v>0</v>
      </c>
      <c r="E396" s="220"/>
      <c r="F396" s="212"/>
      <c r="G396" s="215"/>
      <c r="H396" s="215"/>
      <c r="I396" s="271"/>
      <c r="J396" s="272"/>
      <c r="K396" s="215"/>
      <c r="L396" s="217"/>
      <c r="M396" s="217"/>
    </row>
    <row r="397" spans="1:13" ht="35.1" customHeight="1" x14ac:dyDescent="0.25">
      <c r="A397" s="206"/>
      <c r="B397" s="203"/>
      <c r="C397" s="198"/>
      <c r="D397" s="209">
        <f t="shared" si="6"/>
        <v>0</v>
      </c>
      <c r="E397" s="220"/>
      <c r="F397" s="212"/>
      <c r="G397" s="215"/>
      <c r="H397" s="215"/>
      <c r="I397" s="271"/>
      <c r="J397" s="272"/>
      <c r="K397" s="215"/>
      <c r="L397" s="217"/>
      <c r="M397" s="217"/>
    </row>
    <row r="398" spans="1:13" ht="35.1" customHeight="1" x14ac:dyDescent="0.25">
      <c r="A398" s="206"/>
      <c r="B398" s="203"/>
      <c r="C398" s="198"/>
      <c r="D398" s="209">
        <f t="shared" si="6"/>
        <v>0</v>
      </c>
      <c r="E398" s="220"/>
      <c r="F398" s="212"/>
      <c r="G398" s="215"/>
      <c r="H398" s="215"/>
      <c r="I398" s="271"/>
      <c r="J398" s="272"/>
      <c r="K398" s="215"/>
      <c r="L398" s="217"/>
      <c r="M398" s="217"/>
    </row>
    <row r="399" spans="1:13" ht="35.1" customHeight="1" x14ac:dyDescent="0.25">
      <c r="A399" s="206"/>
      <c r="B399" s="203"/>
      <c r="C399" s="198"/>
      <c r="D399" s="209">
        <f t="shared" si="6"/>
        <v>0</v>
      </c>
      <c r="E399" s="220"/>
      <c r="F399" s="212"/>
      <c r="G399" s="215"/>
      <c r="H399" s="215"/>
      <c r="I399" s="271"/>
      <c r="J399" s="272"/>
      <c r="K399" s="215"/>
      <c r="L399" s="217"/>
      <c r="M399" s="217"/>
    </row>
    <row r="400" spans="1:13" ht="35.1" customHeight="1" x14ac:dyDescent="0.25">
      <c r="A400" s="206"/>
      <c r="B400" s="203"/>
      <c r="C400" s="198"/>
      <c r="D400" s="209">
        <f t="shared" si="6"/>
        <v>0</v>
      </c>
      <c r="E400" s="220"/>
      <c r="F400" s="212"/>
      <c r="G400" s="215"/>
      <c r="H400" s="215"/>
      <c r="I400" s="271"/>
      <c r="J400" s="272"/>
      <c r="K400" s="215"/>
      <c r="L400" s="217"/>
      <c r="M400" s="217"/>
    </row>
    <row r="401" spans="1:13" ht="35.1" customHeight="1" x14ac:dyDescent="0.25">
      <c r="A401" s="206"/>
      <c r="B401" s="203"/>
      <c r="C401" s="198"/>
      <c r="D401" s="209">
        <f t="shared" si="6"/>
        <v>0</v>
      </c>
      <c r="E401" s="220"/>
      <c r="F401" s="212"/>
      <c r="G401" s="215"/>
      <c r="H401" s="215"/>
      <c r="I401" s="271"/>
      <c r="J401" s="272"/>
      <c r="K401" s="215"/>
      <c r="L401" s="217"/>
      <c r="M401" s="217"/>
    </row>
    <row r="402" spans="1:13" ht="35.1" customHeight="1" x14ac:dyDescent="0.25">
      <c r="A402" s="206"/>
      <c r="B402" s="203"/>
      <c r="C402" s="198"/>
      <c r="D402" s="209">
        <f t="shared" si="6"/>
        <v>0</v>
      </c>
      <c r="E402" s="220"/>
      <c r="F402" s="212"/>
      <c r="G402" s="215"/>
      <c r="H402" s="215"/>
      <c r="I402" s="271"/>
      <c r="J402" s="272"/>
      <c r="K402" s="215"/>
      <c r="L402" s="217"/>
      <c r="M402" s="217"/>
    </row>
    <row r="403" spans="1:13" ht="35.1" customHeight="1" x14ac:dyDescent="0.25">
      <c r="A403" s="206"/>
      <c r="B403" s="203"/>
      <c r="C403" s="198"/>
      <c r="D403" s="209">
        <f t="shared" si="6"/>
        <v>0</v>
      </c>
      <c r="E403" s="220"/>
      <c r="F403" s="212"/>
      <c r="G403" s="215"/>
      <c r="H403" s="215"/>
      <c r="I403" s="271"/>
      <c r="J403" s="272"/>
      <c r="K403" s="215"/>
      <c r="L403" s="217"/>
      <c r="M403" s="217"/>
    </row>
    <row r="404" spans="1:13" ht="35.1" customHeight="1" x14ac:dyDescent="0.25">
      <c r="A404" s="206"/>
      <c r="B404" s="203"/>
      <c r="C404" s="198"/>
      <c r="D404" s="209">
        <f t="shared" si="6"/>
        <v>0</v>
      </c>
      <c r="E404" s="220"/>
      <c r="F404" s="212"/>
      <c r="G404" s="215"/>
      <c r="H404" s="215"/>
      <c r="I404" s="271"/>
      <c r="J404" s="272"/>
      <c r="K404" s="215"/>
      <c r="L404" s="217"/>
      <c r="M404" s="217"/>
    </row>
    <row r="405" spans="1:13" ht="35.1" customHeight="1" x14ac:dyDescent="0.25">
      <c r="A405" s="206"/>
      <c r="B405" s="203"/>
      <c r="C405" s="198"/>
      <c r="D405" s="209">
        <f t="shared" si="6"/>
        <v>0</v>
      </c>
      <c r="E405" s="220"/>
      <c r="F405" s="212"/>
      <c r="G405" s="215"/>
      <c r="H405" s="215"/>
      <c r="I405" s="271"/>
      <c r="J405" s="272"/>
      <c r="K405" s="215"/>
      <c r="L405" s="217"/>
      <c r="M405" s="217"/>
    </row>
    <row r="406" spans="1:13" ht="35.1" customHeight="1" x14ac:dyDescent="0.25">
      <c r="A406" s="206"/>
      <c r="B406" s="203"/>
      <c r="C406" s="198"/>
      <c r="D406" s="209">
        <f t="shared" si="6"/>
        <v>0</v>
      </c>
      <c r="E406" s="220"/>
      <c r="F406" s="212"/>
      <c r="G406" s="215"/>
      <c r="H406" s="215"/>
      <c r="I406" s="271"/>
      <c r="J406" s="272"/>
      <c r="K406" s="215"/>
      <c r="L406" s="217"/>
      <c r="M406" s="217"/>
    </row>
    <row r="407" spans="1:13" ht="35.1" customHeight="1" x14ac:dyDescent="0.25">
      <c r="A407" s="206"/>
      <c r="B407" s="203"/>
      <c r="C407" s="198"/>
      <c r="D407" s="209">
        <f t="shared" si="6"/>
        <v>0</v>
      </c>
      <c r="E407" s="220"/>
      <c r="F407" s="212"/>
      <c r="G407" s="215"/>
      <c r="H407" s="215"/>
      <c r="I407" s="271"/>
      <c r="J407" s="272"/>
      <c r="K407" s="215"/>
      <c r="L407" s="217"/>
      <c r="M407" s="217"/>
    </row>
    <row r="408" spans="1:13" ht="35.1" customHeight="1" x14ac:dyDescent="0.25">
      <c r="A408" s="206"/>
      <c r="B408" s="203"/>
      <c r="C408" s="198"/>
      <c r="D408" s="209">
        <f t="shared" si="6"/>
        <v>0</v>
      </c>
      <c r="E408" s="220"/>
      <c r="F408" s="212"/>
      <c r="G408" s="215"/>
      <c r="H408" s="215"/>
      <c r="I408" s="271"/>
      <c r="J408" s="272"/>
      <c r="K408" s="215"/>
      <c r="L408" s="217"/>
      <c r="M408" s="217"/>
    </row>
    <row r="409" spans="1:13" ht="35.1" customHeight="1" x14ac:dyDescent="0.25">
      <c r="A409" s="206"/>
      <c r="B409" s="203"/>
      <c r="C409" s="198"/>
      <c r="D409" s="209">
        <f t="shared" si="6"/>
        <v>0</v>
      </c>
      <c r="E409" s="220"/>
      <c r="F409" s="212"/>
      <c r="G409" s="215"/>
      <c r="H409" s="215"/>
      <c r="I409" s="271"/>
      <c r="J409" s="272"/>
      <c r="K409" s="215"/>
      <c r="L409" s="217"/>
      <c r="M409" s="217"/>
    </row>
    <row r="410" spans="1:13" ht="35.1" customHeight="1" x14ac:dyDescent="0.25">
      <c r="A410" s="206"/>
      <c r="B410" s="203"/>
      <c r="C410" s="198"/>
      <c r="D410" s="209">
        <f t="shared" si="6"/>
        <v>0</v>
      </c>
      <c r="E410" s="220"/>
      <c r="F410" s="212"/>
      <c r="G410" s="215"/>
      <c r="H410" s="215"/>
      <c r="I410" s="271"/>
      <c r="J410" s="272"/>
      <c r="K410" s="215"/>
      <c r="L410" s="217"/>
      <c r="M410" s="217"/>
    </row>
    <row r="411" spans="1:13" ht="35.1" customHeight="1" x14ac:dyDescent="0.25">
      <c r="A411" s="206"/>
      <c r="B411" s="203"/>
      <c r="C411" s="198"/>
      <c r="D411" s="209">
        <f t="shared" si="6"/>
        <v>0</v>
      </c>
      <c r="E411" s="220"/>
      <c r="F411" s="212"/>
      <c r="G411" s="215"/>
      <c r="H411" s="215"/>
      <c r="I411" s="271"/>
      <c r="J411" s="272"/>
      <c r="K411" s="215"/>
      <c r="L411" s="217"/>
      <c r="M411" s="217"/>
    </row>
    <row r="412" spans="1:13" ht="35.1" customHeight="1" x14ac:dyDescent="0.25">
      <c r="A412" s="206"/>
      <c r="B412" s="203"/>
      <c r="C412" s="198"/>
      <c r="D412" s="209">
        <f t="shared" si="6"/>
        <v>0</v>
      </c>
      <c r="E412" s="220"/>
      <c r="F412" s="212"/>
      <c r="G412" s="215"/>
      <c r="H412" s="215"/>
      <c r="I412" s="271"/>
      <c r="J412" s="272"/>
      <c r="K412" s="215"/>
      <c r="L412" s="217"/>
      <c r="M412" s="217"/>
    </row>
    <row r="413" spans="1:13" ht="35.1" customHeight="1" x14ac:dyDescent="0.25">
      <c r="A413" s="206"/>
      <c r="B413" s="203"/>
      <c r="C413" s="198"/>
      <c r="D413" s="209">
        <f t="shared" si="6"/>
        <v>0</v>
      </c>
      <c r="E413" s="220"/>
      <c r="F413" s="212"/>
      <c r="G413" s="215"/>
      <c r="H413" s="215"/>
      <c r="I413" s="271"/>
      <c r="J413" s="272"/>
      <c r="K413" s="215"/>
      <c r="L413" s="217"/>
      <c r="M413" s="217"/>
    </row>
    <row r="414" spans="1:13" ht="35.1" customHeight="1" x14ac:dyDescent="0.25">
      <c r="A414" s="206"/>
      <c r="B414" s="203"/>
      <c r="C414" s="198"/>
      <c r="D414" s="209">
        <f t="shared" si="6"/>
        <v>0</v>
      </c>
      <c r="E414" s="220"/>
      <c r="F414" s="212"/>
      <c r="G414" s="215"/>
      <c r="H414" s="215"/>
      <c r="I414" s="271"/>
      <c r="J414" s="272"/>
      <c r="K414" s="215"/>
      <c r="L414" s="217"/>
      <c r="M414" s="217"/>
    </row>
    <row r="415" spans="1:13" ht="35.1" customHeight="1" x14ac:dyDescent="0.25">
      <c r="A415" s="205"/>
      <c r="B415" s="202"/>
      <c r="C415" s="201"/>
      <c r="D415" s="208">
        <f t="shared" si="6"/>
        <v>0</v>
      </c>
      <c r="E415" s="219"/>
      <c r="F415" s="211"/>
      <c r="G415" s="214"/>
      <c r="H415" s="214"/>
      <c r="I415" s="273"/>
      <c r="J415" s="274"/>
      <c r="K415" s="214"/>
      <c r="L415" s="216"/>
      <c r="M415" s="216"/>
    </row>
    <row r="416" spans="1:13" ht="35.1" customHeight="1" x14ac:dyDescent="0.25">
      <c r="A416" s="206"/>
      <c r="B416" s="203"/>
      <c r="C416" s="198"/>
      <c r="D416" s="209">
        <f t="shared" si="6"/>
        <v>0</v>
      </c>
      <c r="E416" s="220"/>
      <c r="F416" s="212"/>
      <c r="G416" s="215"/>
      <c r="H416" s="215"/>
      <c r="I416" s="271"/>
      <c r="J416" s="272"/>
      <c r="K416" s="215"/>
      <c r="L416" s="217"/>
      <c r="M416" s="217"/>
    </row>
    <row r="417" spans="1:13" ht="35.1" customHeight="1" x14ac:dyDescent="0.25">
      <c r="A417" s="206"/>
      <c r="B417" s="203"/>
      <c r="C417" s="198"/>
      <c r="D417" s="209">
        <f t="shared" si="6"/>
        <v>0</v>
      </c>
      <c r="E417" s="220"/>
      <c r="F417" s="212"/>
      <c r="G417" s="215"/>
      <c r="H417" s="215"/>
      <c r="I417" s="271"/>
      <c r="J417" s="272"/>
      <c r="K417" s="215"/>
      <c r="L417" s="217"/>
      <c r="M417" s="217"/>
    </row>
    <row r="418" spans="1:13" ht="35.1" customHeight="1" x14ac:dyDescent="0.25">
      <c r="A418" s="206"/>
      <c r="B418" s="203"/>
      <c r="C418" s="198"/>
      <c r="D418" s="209">
        <f t="shared" si="6"/>
        <v>0</v>
      </c>
      <c r="E418" s="220"/>
      <c r="F418" s="212"/>
      <c r="G418" s="215"/>
      <c r="H418" s="215"/>
      <c r="I418" s="271"/>
      <c r="J418" s="272"/>
      <c r="K418" s="215"/>
      <c r="L418" s="217"/>
      <c r="M418" s="217"/>
    </row>
    <row r="419" spans="1:13" ht="35.1" customHeight="1" x14ac:dyDescent="0.25">
      <c r="A419" s="206"/>
      <c r="B419" s="203"/>
      <c r="C419" s="198"/>
      <c r="D419" s="209">
        <f t="shared" si="6"/>
        <v>0</v>
      </c>
      <c r="E419" s="220"/>
      <c r="F419" s="212"/>
      <c r="G419" s="215"/>
      <c r="H419" s="215"/>
      <c r="I419" s="271"/>
      <c r="J419" s="272"/>
      <c r="K419" s="215"/>
      <c r="L419" s="217"/>
      <c r="M419" s="217"/>
    </row>
    <row r="420" spans="1:13" ht="35.1" customHeight="1" x14ac:dyDescent="0.25">
      <c r="A420" s="206"/>
      <c r="B420" s="203"/>
      <c r="C420" s="198"/>
      <c r="D420" s="209">
        <f t="shared" si="6"/>
        <v>0</v>
      </c>
      <c r="E420" s="220"/>
      <c r="F420" s="212"/>
      <c r="G420" s="215"/>
      <c r="H420" s="215"/>
      <c r="I420" s="271"/>
      <c r="J420" s="272"/>
      <c r="K420" s="215"/>
      <c r="L420" s="217"/>
      <c r="M420" s="217"/>
    </row>
    <row r="421" spans="1:13" ht="35.1" customHeight="1" x14ac:dyDescent="0.25">
      <c r="A421" s="206"/>
      <c r="B421" s="203"/>
      <c r="C421" s="198"/>
      <c r="D421" s="209">
        <f t="shared" si="6"/>
        <v>0</v>
      </c>
      <c r="E421" s="220"/>
      <c r="F421" s="212"/>
      <c r="G421" s="215"/>
      <c r="H421" s="215"/>
      <c r="I421" s="271"/>
      <c r="J421" s="272"/>
      <c r="K421" s="215"/>
      <c r="L421" s="217"/>
      <c r="M421" s="217"/>
    </row>
    <row r="422" spans="1:13" ht="35.1" customHeight="1" x14ac:dyDescent="0.25">
      <c r="A422" s="206"/>
      <c r="B422" s="203"/>
      <c r="C422" s="198"/>
      <c r="D422" s="209">
        <f t="shared" si="6"/>
        <v>0</v>
      </c>
      <c r="E422" s="220"/>
      <c r="F422" s="212"/>
      <c r="G422" s="215"/>
      <c r="H422" s="215"/>
      <c r="I422" s="271"/>
      <c r="J422" s="272"/>
      <c r="K422" s="215"/>
      <c r="L422" s="217"/>
      <c r="M422" s="217"/>
    </row>
    <row r="423" spans="1:13" ht="35.1" customHeight="1" x14ac:dyDescent="0.25">
      <c r="A423" s="206"/>
      <c r="B423" s="203"/>
      <c r="C423" s="198"/>
      <c r="D423" s="209">
        <f t="shared" ref="D423:D486" si="7">C423-B423</f>
        <v>0</v>
      </c>
      <c r="E423" s="220"/>
      <c r="F423" s="212"/>
      <c r="G423" s="215"/>
      <c r="H423" s="215"/>
      <c r="I423" s="271"/>
      <c r="J423" s="272"/>
      <c r="K423" s="215"/>
      <c r="L423" s="217"/>
      <c r="M423" s="217"/>
    </row>
    <row r="424" spans="1:13" ht="35.1" customHeight="1" x14ac:dyDescent="0.25">
      <c r="A424" s="206"/>
      <c r="B424" s="203"/>
      <c r="C424" s="198"/>
      <c r="D424" s="209">
        <f t="shared" si="7"/>
        <v>0</v>
      </c>
      <c r="E424" s="220"/>
      <c r="F424" s="212"/>
      <c r="G424" s="215"/>
      <c r="H424" s="215"/>
      <c r="I424" s="271"/>
      <c r="J424" s="272"/>
      <c r="K424" s="215"/>
      <c r="L424" s="217"/>
      <c r="M424" s="217"/>
    </row>
    <row r="425" spans="1:13" ht="35.1" customHeight="1" x14ac:dyDescent="0.25">
      <c r="A425" s="206"/>
      <c r="B425" s="203"/>
      <c r="C425" s="198"/>
      <c r="D425" s="209">
        <f t="shared" si="7"/>
        <v>0</v>
      </c>
      <c r="E425" s="220"/>
      <c r="F425" s="212"/>
      <c r="G425" s="215"/>
      <c r="H425" s="215"/>
      <c r="I425" s="271"/>
      <c r="J425" s="272"/>
      <c r="K425" s="215"/>
      <c r="L425" s="217"/>
      <c r="M425" s="217"/>
    </row>
    <row r="426" spans="1:13" ht="35.1" customHeight="1" x14ac:dyDescent="0.25">
      <c r="A426" s="206"/>
      <c r="B426" s="203"/>
      <c r="C426" s="198"/>
      <c r="D426" s="209">
        <f t="shared" si="7"/>
        <v>0</v>
      </c>
      <c r="E426" s="220"/>
      <c r="F426" s="212"/>
      <c r="G426" s="215"/>
      <c r="H426" s="215"/>
      <c r="I426" s="271"/>
      <c r="J426" s="272"/>
      <c r="K426" s="215"/>
      <c r="L426" s="217"/>
      <c r="M426" s="217"/>
    </row>
    <row r="427" spans="1:13" ht="35.1" customHeight="1" x14ac:dyDescent="0.25">
      <c r="A427" s="206"/>
      <c r="B427" s="203"/>
      <c r="C427" s="198"/>
      <c r="D427" s="209">
        <f t="shared" si="7"/>
        <v>0</v>
      </c>
      <c r="E427" s="220"/>
      <c r="F427" s="212"/>
      <c r="G427" s="215"/>
      <c r="H427" s="215"/>
      <c r="I427" s="271"/>
      <c r="J427" s="272"/>
      <c r="K427" s="215"/>
      <c r="L427" s="217"/>
      <c r="M427" s="217"/>
    </row>
    <row r="428" spans="1:13" ht="35.1" customHeight="1" x14ac:dyDescent="0.25">
      <c r="A428" s="206"/>
      <c r="B428" s="203"/>
      <c r="C428" s="198"/>
      <c r="D428" s="209">
        <f t="shared" si="7"/>
        <v>0</v>
      </c>
      <c r="E428" s="220"/>
      <c r="F428" s="212"/>
      <c r="G428" s="215"/>
      <c r="H428" s="215"/>
      <c r="I428" s="271"/>
      <c r="J428" s="272"/>
      <c r="K428" s="215"/>
      <c r="L428" s="217"/>
      <c r="M428" s="217"/>
    </row>
    <row r="429" spans="1:13" ht="35.1" customHeight="1" x14ac:dyDescent="0.25">
      <c r="A429" s="206"/>
      <c r="B429" s="203"/>
      <c r="C429" s="198"/>
      <c r="D429" s="209">
        <f t="shared" si="7"/>
        <v>0</v>
      </c>
      <c r="E429" s="220"/>
      <c r="F429" s="212"/>
      <c r="G429" s="215"/>
      <c r="H429" s="215"/>
      <c r="I429" s="271"/>
      <c r="J429" s="272"/>
      <c r="K429" s="215"/>
      <c r="L429" s="217"/>
      <c r="M429" s="217"/>
    </row>
    <row r="430" spans="1:13" ht="35.1" customHeight="1" x14ac:dyDescent="0.25">
      <c r="A430" s="206"/>
      <c r="B430" s="203"/>
      <c r="C430" s="198"/>
      <c r="D430" s="209">
        <f t="shared" si="7"/>
        <v>0</v>
      </c>
      <c r="E430" s="220"/>
      <c r="F430" s="212"/>
      <c r="G430" s="215"/>
      <c r="H430" s="215"/>
      <c r="I430" s="271"/>
      <c r="J430" s="272"/>
      <c r="K430" s="215"/>
      <c r="L430" s="217"/>
      <c r="M430" s="217"/>
    </row>
    <row r="431" spans="1:13" ht="35.1" customHeight="1" x14ac:dyDescent="0.25">
      <c r="A431" s="206"/>
      <c r="B431" s="203"/>
      <c r="C431" s="198"/>
      <c r="D431" s="209">
        <f t="shared" si="7"/>
        <v>0</v>
      </c>
      <c r="E431" s="220"/>
      <c r="F431" s="212"/>
      <c r="G431" s="215"/>
      <c r="H431" s="215"/>
      <c r="I431" s="271"/>
      <c r="J431" s="272"/>
      <c r="K431" s="215"/>
      <c r="L431" s="217"/>
      <c r="M431" s="217"/>
    </row>
    <row r="432" spans="1:13" ht="35.1" customHeight="1" x14ac:dyDescent="0.25">
      <c r="A432" s="206"/>
      <c r="B432" s="203"/>
      <c r="C432" s="198"/>
      <c r="D432" s="209">
        <f t="shared" si="7"/>
        <v>0</v>
      </c>
      <c r="E432" s="220"/>
      <c r="F432" s="212"/>
      <c r="G432" s="215"/>
      <c r="H432" s="215"/>
      <c r="I432" s="271"/>
      <c r="J432" s="272"/>
      <c r="K432" s="215"/>
      <c r="L432" s="217"/>
      <c r="M432" s="217"/>
    </row>
    <row r="433" spans="1:13" ht="35.1" customHeight="1" x14ac:dyDescent="0.25">
      <c r="A433" s="206"/>
      <c r="B433" s="203"/>
      <c r="C433" s="198"/>
      <c r="D433" s="209">
        <f t="shared" si="7"/>
        <v>0</v>
      </c>
      <c r="E433" s="220"/>
      <c r="F433" s="212"/>
      <c r="G433" s="215"/>
      <c r="H433" s="215"/>
      <c r="I433" s="271"/>
      <c r="J433" s="272"/>
      <c r="K433" s="215"/>
      <c r="L433" s="217"/>
      <c r="M433" s="217"/>
    </row>
    <row r="434" spans="1:13" ht="35.1" customHeight="1" x14ac:dyDescent="0.25">
      <c r="A434" s="206"/>
      <c r="B434" s="203"/>
      <c r="C434" s="198"/>
      <c r="D434" s="209">
        <f t="shared" si="7"/>
        <v>0</v>
      </c>
      <c r="E434" s="220"/>
      <c r="F434" s="212"/>
      <c r="G434" s="215"/>
      <c r="H434" s="215"/>
      <c r="I434" s="271"/>
      <c r="J434" s="272"/>
      <c r="K434" s="215"/>
      <c r="L434" s="217"/>
      <c r="M434" s="217"/>
    </row>
    <row r="435" spans="1:13" ht="35.1" customHeight="1" x14ac:dyDescent="0.25">
      <c r="A435" s="206"/>
      <c r="B435" s="203"/>
      <c r="C435" s="198"/>
      <c r="D435" s="209">
        <f t="shared" si="7"/>
        <v>0</v>
      </c>
      <c r="E435" s="220"/>
      <c r="F435" s="212"/>
      <c r="G435" s="215"/>
      <c r="H435" s="215"/>
      <c r="I435" s="271"/>
      <c r="J435" s="272"/>
      <c r="K435" s="215"/>
      <c r="L435" s="217"/>
      <c r="M435" s="217"/>
    </row>
    <row r="436" spans="1:13" ht="35.1" customHeight="1" x14ac:dyDescent="0.25">
      <c r="A436" s="206"/>
      <c r="B436" s="203"/>
      <c r="C436" s="198"/>
      <c r="D436" s="209">
        <f t="shared" si="7"/>
        <v>0</v>
      </c>
      <c r="E436" s="220"/>
      <c r="F436" s="212"/>
      <c r="G436" s="215"/>
      <c r="H436" s="215"/>
      <c r="I436" s="271"/>
      <c r="J436" s="272"/>
      <c r="K436" s="215"/>
      <c r="L436" s="217"/>
      <c r="M436" s="217"/>
    </row>
    <row r="437" spans="1:13" ht="35.1" customHeight="1" x14ac:dyDescent="0.25">
      <c r="A437" s="206"/>
      <c r="B437" s="203"/>
      <c r="C437" s="198"/>
      <c r="D437" s="209">
        <f t="shared" si="7"/>
        <v>0</v>
      </c>
      <c r="E437" s="220"/>
      <c r="F437" s="212"/>
      <c r="G437" s="215"/>
      <c r="H437" s="215"/>
      <c r="I437" s="271"/>
      <c r="J437" s="272"/>
      <c r="K437" s="215"/>
      <c r="L437" s="217"/>
      <c r="M437" s="217"/>
    </row>
    <row r="438" spans="1:13" ht="35.1" customHeight="1" x14ac:dyDescent="0.25">
      <c r="A438" s="206"/>
      <c r="B438" s="203"/>
      <c r="C438" s="198"/>
      <c r="D438" s="209">
        <f t="shared" si="7"/>
        <v>0</v>
      </c>
      <c r="E438" s="220"/>
      <c r="F438" s="212"/>
      <c r="G438" s="215"/>
      <c r="H438" s="215"/>
      <c r="I438" s="271"/>
      <c r="J438" s="272"/>
      <c r="K438" s="215"/>
      <c r="L438" s="217"/>
      <c r="M438" s="217"/>
    </row>
    <row r="439" spans="1:13" ht="35.1" customHeight="1" x14ac:dyDescent="0.25">
      <c r="A439" s="206"/>
      <c r="B439" s="203"/>
      <c r="C439" s="198"/>
      <c r="D439" s="209">
        <f t="shared" si="7"/>
        <v>0</v>
      </c>
      <c r="E439" s="220"/>
      <c r="F439" s="212"/>
      <c r="G439" s="215"/>
      <c r="H439" s="215"/>
      <c r="I439" s="271"/>
      <c r="J439" s="272"/>
      <c r="K439" s="215"/>
      <c r="L439" s="217"/>
      <c r="M439" s="217"/>
    </row>
    <row r="440" spans="1:13" ht="35.1" customHeight="1" x14ac:dyDescent="0.25">
      <c r="A440" s="206"/>
      <c r="B440" s="203"/>
      <c r="C440" s="198"/>
      <c r="D440" s="209">
        <f t="shared" si="7"/>
        <v>0</v>
      </c>
      <c r="E440" s="220"/>
      <c r="F440" s="212"/>
      <c r="G440" s="215"/>
      <c r="H440" s="215"/>
      <c r="I440" s="271"/>
      <c r="J440" s="272"/>
      <c r="K440" s="215"/>
      <c r="L440" s="217"/>
      <c r="M440" s="217"/>
    </row>
    <row r="441" spans="1:13" ht="35.1" customHeight="1" x14ac:dyDescent="0.25">
      <c r="A441" s="206"/>
      <c r="B441" s="203"/>
      <c r="C441" s="198"/>
      <c r="D441" s="209">
        <f t="shared" si="7"/>
        <v>0</v>
      </c>
      <c r="E441" s="220"/>
      <c r="F441" s="212"/>
      <c r="G441" s="215"/>
      <c r="H441" s="215"/>
      <c r="I441" s="271"/>
      <c r="J441" s="272"/>
      <c r="K441" s="215"/>
      <c r="L441" s="217"/>
      <c r="M441" s="217"/>
    </row>
    <row r="442" spans="1:13" ht="35.1" customHeight="1" x14ac:dyDescent="0.25">
      <c r="A442" s="206"/>
      <c r="B442" s="203"/>
      <c r="C442" s="198"/>
      <c r="D442" s="209">
        <f t="shared" si="7"/>
        <v>0</v>
      </c>
      <c r="E442" s="220"/>
      <c r="F442" s="212"/>
      <c r="G442" s="215"/>
      <c r="H442" s="215"/>
      <c r="I442" s="271"/>
      <c r="J442" s="272"/>
      <c r="K442" s="215"/>
      <c r="L442" s="217"/>
      <c r="M442" s="217"/>
    </row>
    <row r="443" spans="1:13" ht="35.1" customHeight="1" x14ac:dyDescent="0.25">
      <c r="A443" s="206"/>
      <c r="B443" s="203"/>
      <c r="C443" s="198"/>
      <c r="D443" s="209">
        <f t="shared" si="7"/>
        <v>0</v>
      </c>
      <c r="E443" s="220"/>
      <c r="F443" s="212"/>
      <c r="G443" s="215"/>
      <c r="H443" s="215"/>
      <c r="I443" s="271"/>
      <c r="J443" s="272"/>
      <c r="K443" s="215"/>
      <c r="L443" s="217"/>
      <c r="M443" s="217"/>
    </row>
    <row r="444" spans="1:13" ht="35.1" customHeight="1" x14ac:dyDescent="0.25">
      <c r="A444" s="206"/>
      <c r="B444" s="203"/>
      <c r="C444" s="198"/>
      <c r="D444" s="209">
        <f t="shared" si="7"/>
        <v>0</v>
      </c>
      <c r="E444" s="220"/>
      <c r="F444" s="212"/>
      <c r="G444" s="215"/>
      <c r="H444" s="215"/>
      <c r="I444" s="271"/>
      <c r="J444" s="272"/>
      <c r="K444" s="215"/>
      <c r="L444" s="217"/>
      <c r="M444" s="217"/>
    </row>
    <row r="445" spans="1:13" ht="35.1" customHeight="1" x14ac:dyDescent="0.25">
      <c r="A445" s="206"/>
      <c r="B445" s="203"/>
      <c r="C445" s="198"/>
      <c r="D445" s="209">
        <f t="shared" si="7"/>
        <v>0</v>
      </c>
      <c r="E445" s="220"/>
      <c r="F445" s="212"/>
      <c r="G445" s="215"/>
      <c r="H445" s="215"/>
      <c r="I445" s="271"/>
      <c r="J445" s="272"/>
      <c r="K445" s="215"/>
      <c r="L445" s="217"/>
      <c r="M445" s="217"/>
    </row>
    <row r="446" spans="1:13" ht="35.1" customHeight="1" x14ac:dyDescent="0.25">
      <c r="A446" s="206"/>
      <c r="B446" s="203"/>
      <c r="C446" s="198"/>
      <c r="D446" s="209">
        <f t="shared" si="7"/>
        <v>0</v>
      </c>
      <c r="E446" s="220"/>
      <c r="F446" s="212"/>
      <c r="G446" s="215"/>
      <c r="H446" s="215"/>
      <c r="I446" s="271"/>
      <c r="J446" s="272"/>
      <c r="K446" s="215"/>
      <c r="L446" s="217"/>
      <c r="M446" s="217"/>
    </row>
    <row r="447" spans="1:13" ht="35.1" customHeight="1" x14ac:dyDescent="0.25">
      <c r="A447" s="206"/>
      <c r="B447" s="203"/>
      <c r="C447" s="198"/>
      <c r="D447" s="209">
        <f t="shared" si="7"/>
        <v>0</v>
      </c>
      <c r="E447" s="220"/>
      <c r="F447" s="212"/>
      <c r="G447" s="215"/>
      <c r="H447" s="215"/>
      <c r="I447" s="271"/>
      <c r="J447" s="272"/>
      <c r="K447" s="215"/>
      <c r="L447" s="217"/>
      <c r="M447" s="217"/>
    </row>
    <row r="448" spans="1:13" ht="35.1" customHeight="1" x14ac:dyDescent="0.25">
      <c r="A448" s="206"/>
      <c r="B448" s="203"/>
      <c r="C448" s="198"/>
      <c r="D448" s="209">
        <f t="shared" si="7"/>
        <v>0</v>
      </c>
      <c r="E448" s="220"/>
      <c r="F448" s="212"/>
      <c r="G448" s="215"/>
      <c r="H448" s="215"/>
      <c r="I448" s="271"/>
      <c r="J448" s="272"/>
      <c r="K448" s="215"/>
      <c r="L448" s="217"/>
      <c r="M448" s="217"/>
    </row>
    <row r="449" spans="1:13" ht="35.1" customHeight="1" x14ac:dyDescent="0.25">
      <c r="A449" s="206"/>
      <c r="B449" s="203"/>
      <c r="C449" s="198"/>
      <c r="D449" s="209">
        <f t="shared" si="7"/>
        <v>0</v>
      </c>
      <c r="E449" s="220"/>
      <c r="F449" s="212"/>
      <c r="G449" s="215"/>
      <c r="H449" s="215"/>
      <c r="I449" s="271"/>
      <c r="J449" s="272"/>
      <c r="K449" s="215"/>
      <c r="L449" s="217"/>
      <c r="M449" s="217"/>
    </row>
    <row r="450" spans="1:13" ht="35.1" customHeight="1" x14ac:dyDescent="0.25">
      <c r="A450" s="206"/>
      <c r="B450" s="203"/>
      <c r="C450" s="198"/>
      <c r="D450" s="209">
        <f t="shared" si="7"/>
        <v>0</v>
      </c>
      <c r="E450" s="220"/>
      <c r="F450" s="212"/>
      <c r="G450" s="215"/>
      <c r="H450" s="215"/>
      <c r="I450" s="271"/>
      <c r="J450" s="272"/>
      <c r="K450" s="215"/>
      <c r="L450" s="217"/>
      <c r="M450" s="217"/>
    </row>
    <row r="451" spans="1:13" ht="35.1" customHeight="1" x14ac:dyDescent="0.25">
      <c r="A451" s="206"/>
      <c r="B451" s="203"/>
      <c r="C451" s="198"/>
      <c r="D451" s="209">
        <f t="shared" si="7"/>
        <v>0</v>
      </c>
      <c r="E451" s="220"/>
      <c r="F451" s="212"/>
      <c r="G451" s="215"/>
      <c r="H451" s="215"/>
      <c r="I451" s="271"/>
      <c r="J451" s="272"/>
      <c r="K451" s="215"/>
      <c r="L451" s="217"/>
      <c r="M451" s="217"/>
    </row>
    <row r="452" spans="1:13" ht="35.1" customHeight="1" x14ac:dyDescent="0.25">
      <c r="A452" s="206"/>
      <c r="B452" s="203"/>
      <c r="C452" s="198"/>
      <c r="D452" s="209">
        <f t="shared" si="7"/>
        <v>0</v>
      </c>
      <c r="E452" s="220"/>
      <c r="F452" s="212"/>
      <c r="G452" s="215"/>
      <c r="H452" s="215"/>
      <c r="I452" s="271"/>
      <c r="J452" s="272"/>
      <c r="K452" s="215"/>
      <c r="L452" s="217"/>
      <c r="M452" s="217"/>
    </row>
    <row r="453" spans="1:13" ht="35.1" customHeight="1" x14ac:dyDescent="0.25">
      <c r="A453" s="206"/>
      <c r="B453" s="203"/>
      <c r="C453" s="198"/>
      <c r="D453" s="209">
        <f t="shared" si="7"/>
        <v>0</v>
      </c>
      <c r="E453" s="220"/>
      <c r="F453" s="212"/>
      <c r="G453" s="215"/>
      <c r="H453" s="215"/>
      <c r="I453" s="271"/>
      <c r="J453" s="272"/>
      <c r="K453" s="215"/>
      <c r="L453" s="217"/>
      <c r="M453" s="217"/>
    </row>
    <row r="454" spans="1:13" ht="35.1" customHeight="1" x14ac:dyDescent="0.25">
      <c r="A454" s="206"/>
      <c r="B454" s="203"/>
      <c r="C454" s="198"/>
      <c r="D454" s="209">
        <f t="shared" si="7"/>
        <v>0</v>
      </c>
      <c r="E454" s="220"/>
      <c r="F454" s="212"/>
      <c r="G454" s="215"/>
      <c r="H454" s="215"/>
      <c r="I454" s="271"/>
      <c r="J454" s="272"/>
      <c r="K454" s="215"/>
      <c r="L454" s="217"/>
      <c r="M454" s="217"/>
    </row>
    <row r="455" spans="1:13" ht="35.1" customHeight="1" x14ac:dyDescent="0.25">
      <c r="A455" s="206"/>
      <c r="B455" s="203"/>
      <c r="C455" s="198"/>
      <c r="D455" s="209">
        <f t="shared" si="7"/>
        <v>0</v>
      </c>
      <c r="E455" s="220"/>
      <c r="F455" s="212"/>
      <c r="G455" s="215"/>
      <c r="H455" s="215"/>
      <c r="I455" s="271"/>
      <c r="J455" s="272"/>
      <c r="K455" s="215"/>
      <c r="L455" s="217"/>
      <c r="M455" s="217"/>
    </row>
    <row r="456" spans="1:13" ht="35.1" customHeight="1" x14ac:dyDescent="0.25">
      <c r="A456" s="206"/>
      <c r="B456" s="203"/>
      <c r="C456" s="198"/>
      <c r="D456" s="209">
        <f t="shared" si="7"/>
        <v>0</v>
      </c>
      <c r="E456" s="220"/>
      <c r="F456" s="212"/>
      <c r="G456" s="215"/>
      <c r="H456" s="215"/>
      <c r="I456" s="271"/>
      <c r="J456" s="272"/>
      <c r="K456" s="215"/>
      <c r="L456" s="217"/>
      <c r="M456" s="217"/>
    </row>
    <row r="457" spans="1:13" ht="35.1" customHeight="1" x14ac:dyDescent="0.25">
      <c r="A457" s="206"/>
      <c r="B457" s="203"/>
      <c r="C457" s="198"/>
      <c r="D457" s="209">
        <f t="shared" si="7"/>
        <v>0</v>
      </c>
      <c r="E457" s="220"/>
      <c r="F457" s="212"/>
      <c r="G457" s="215"/>
      <c r="H457" s="215"/>
      <c r="I457" s="271"/>
      <c r="J457" s="272"/>
      <c r="K457" s="215"/>
      <c r="L457" s="217"/>
      <c r="M457" s="217"/>
    </row>
    <row r="458" spans="1:13" ht="35.1" customHeight="1" x14ac:dyDescent="0.25">
      <c r="A458" s="206"/>
      <c r="B458" s="203"/>
      <c r="C458" s="198"/>
      <c r="D458" s="209">
        <f t="shared" si="7"/>
        <v>0</v>
      </c>
      <c r="E458" s="220"/>
      <c r="F458" s="212"/>
      <c r="G458" s="215"/>
      <c r="H458" s="215"/>
      <c r="I458" s="271"/>
      <c r="J458" s="272"/>
      <c r="K458" s="215"/>
      <c r="L458" s="217"/>
      <c r="M458" s="217"/>
    </row>
    <row r="459" spans="1:13" ht="35.1" customHeight="1" x14ac:dyDescent="0.25">
      <c r="A459" s="206"/>
      <c r="B459" s="203"/>
      <c r="C459" s="198"/>
      <c r="D459" s="209">
        <f t="shared" si="7"/>
        <v>0</v>
      </c>
      <c r="E459" s="220"/>
      <c r="F459" s="212"/>
      <c r="G459" s="215"/>
      <c r="H459" s="215"/>
      <c r="I459" s="271"/>
      <c r="J459" s="272"/>
      <c r="K459" s="215"/>
      <c r="L459" s="217"/>
      <c r="M459" s="217"/>
    </row>
    <row r="460" spans="1:13" ht="35.1" customHeight="1" x14ac:dyDescent="0.25">
      <c r="A460" s="206"/>
      <c r="B460" s="203"/>
      <c r="C460" s="198"/>
      <c r="D460" s="209">
        <f t="shared" si="7"/>
        <v>0</v>
      </c>
      <c r="E460" s="220"/>
      <c r="F460" s="212"/>
      <c r="G460" s="215"/>
      <c r="H460" s="215"/>
      <c r="I460" s="271"/>
      <c r="J460" s="272"/>
      <c r="K460" s="215"/>
      <c r="L460" s="217"/>
      <c r="M460" s="217"/>
    </row>
    <row r="461" spans="1:13" ht="35.1" customHeight="1" x14ac:dyDescent="0.25">
      <c r="A461" s="206"/>
      <c r="B461" s="203"/>
      <c r="C461" s="198"/>
      <c r="D461" s="209">
        <f t="shared" si="7"/>
        <v>0</v>
      </c>
      <c r="E461" s="220"/>
      <c r="F461" s="212"/>
      <c r="G461" s="215"/>
      <c r="H461" s="215"/>
      <c r="I461" s="271"/>
      <c r="J461" s="272"/>
      <c r="K461" s="215"/>
      <c r="L461" s="217"/>
      <c r="M461" s="217"/>
    </row>
    <row r="462" spans="1:13" ht="35.1" customHeight="1" x14ac:dyDescent="0.25">
      <c r="A462" s="206"/>
      <c r="B462" s="203"/>
      <c r="C462" s="198"/>
      <c r="D462" s="209">
        <f t="shared" si="7"/>
        <v>0</v>
      </c>
      <c r="E462" s="220"/>
      <c r="F462" s="212"/>
      <c r="G462" s="215"/>
      <c r="H462" s="215"/>
      <c r="I462" s="271"/>
      <c r="J462" s="272"/>
      <c r="K462" s="215"/>
      <c r="L462" s="217"/>
      <c r="M462" s="217"/>
    </row>
    <row r="463" spans="1:13" ht="35.1" customHeight="1" x14ac:dyDescent="0.25">
      <c r="A463" s="206"/>
      <c r="B463" s="203"/>
      <c r="C463" s="198"/>
      <c r="D463" s="209">
        <f t="shared" si="7"/>
        <v>0</v>
      </c>
      <c r="E463" s="220"/>
      <c r="F463" s="212"/>
      <c r="G463" s="215"/>
      <c r="H463" s="215"/>
      <c r="I463" s="271"/>
      <c r="J463" s="272"/>
      <c r="K463" s="215"/>
      <c r="L463" s="217"/>
      <c r="M463" s="217"/>
    </row>
    <row r="464" spans="1:13" ht="35.1" customHeight="1" x14ac:dyDescent="0.25">
      <c r="A464" s="206"/>
      <c r="B464" s="203"/>
      <c r="C464" s="198"/>
      <c r="D464" s="209">
        <f t="shared" si="7"/>
        <v>0</v>
      </c>
      <c r="E464" s="220"/>
      <c r="F464" s="212"/>
      <c r="G464" s="215"/>
      <c r="H464" s="215"/>
      <c r="I464" s="271"/>
      <c r="J464" s="272"/>
      <c r="K464" s="215"/>
      <c r="L464" s="217"/>
      <c r="M464" s="217"/>
    </row>
    <row r="465" spans="1:13" ht="35.1" customHeight="1" x14ac:dyDescent="0.25">
      <c r="A465" s="206"/>
      <c r="B465" s="203"/>
      <c r="C465" s="198"/>
      <c r="D465" s="209">
        <f t="shared" si="7"/>
        <v>0</v>
      </c>
      <c r="E465" s="220"/>
      <c r="F465" s="212"/>
      <c r="G465" s="215"/>
      <c r="H465" s="215"/>
      <c r="I465" s="271"/>
      <c r="J465" s="272"/>
      <c r="K465" s="215"/>
      <c r="L465" s="217"/>
      <c r="M465" s="217"/>
    </row>
    <row r="466" spans="1:13" ht="35.1" customHeight="1" x14ac:dyDescent="0.25">
      <c r="A466" s="206"/>
      <c r="B466" s="203"/>
      <c r="C466" s="198"/>
      <c r="D466" s="209">
        <f t="shared" si="7"/>
        <v>0</v>
      </c>
      <c r="E466" s="220"/>
      <c r="F466" s="212"/>
      <c r="G466" s="215"/>
      <c r="H466" s="215"/>
      <c r="I466" s="271"/>
      <c r="J466" s="272"/>
      <c r="K466" s="215"/>
      <c r="L466" s="217"/>
      <c r="M466" s="217"/>
    </row>
    <row r="467" spans="1:13" ht="35.1" customHeight="1" x14ac:dyDescent="0.25">
      <c r="A467" s="205"/>
      <c r="B467" s="202"/>
      <c r="C467" s="201"/>
      <c r="D467" s="208">
        <f t="shared" si="7"/>
        <v>0</v>
      </c>
      <c r="E467" s="219"/>
      <c r="F467" s="211"/>
      <c r="G467" s="214"/>
      <c r="H467" s="214"/>
      <c r="I467" s="273"/>
      <c r="J467" s="274"/>
      <c r="K467" s="214"/>
      <c r="L467" s="216"/>
      <c r="M467" s="216"/>
    </row>
    <row r="468" spans="1:13" ht="35.1" customHeight="1" x14ac:dyDescent="0.25">
      <c r="A468" s="206"/>
      <c r="B468" s="203"/>
      <c r="C468" s="198"/>
      <c r="D468" s="209">
        <f t="shared" si="7"/>
        <v>0</v>
      </c>
      <c r="E468" s="220"/>
      <c r="F468" s="212"/>
      <c r="G468" s="215"/>
      <c r="H468" s="215"/>
      <c r="I468" s="271"/>
      <c r="J468" s="272"/>
      <c r="K468" s="215"/>
      <c r="L468" s="217"/>
      <c r="M468" s="217"/>
    </row>
    <row r="469" spans="1:13" ht="35.1" customHeight="1" x14ac:dyDescent="0.25">
      <c r="A469" s="206"/>
      <c r="B469" s="203"/>
      <c r="C469" s="198"/>
      <c r="D469" s="209">
        <f t="shared" si="7"/>
        <v>0</v>
      </c>
      <c r="E469" s="220"/>
      <c r="F469" s="212"/>
      <c r="G469" s="215"/>
      <c r="H469" s="215"/>
      <c r="I469" s="271"/>
      <c r="J469" s="272"/>
      <c r="K469" s="215"/>
      <c r="L469" s="217"/>
      <c r="M469" s="217"/>
    </row>
    <row r="470" spans="1:13" ht="35.1" customHeight="1" x14ac:dyDescent="0.25">
      <c r="A470" s="206"/>
      <c r="B470" s="203"/>
      <c r="C470" s="198"/>
      <c r="D470" s="209">
        <f t="shared" si="7"/>
        <v>0</v>
      </c>
      <c r="E470" s="220"/>
      <c r="F470" s="212"/>
      <c r="G470" s="215"/>
      <c r="H470" s="215"/>
      <c r="I470" s="271"/>
      <c r="J470" s="272"/>
      <c r="K470" s="215"/>
      <c r="L470" s="217"/>
      <c r="M470" s="217"/>
    </row>
    <row r="471" spans="1:13" ht="35.1" customHeight="1" x14ac:dyDescent="0.25">
      <c r="A471" s="206"/>
      <c r="B471" s="203"/>
      <c r="C471" s="198"/>
      <c r="D471" s="209">
        <f t="shared" si="7"/>
        <v>0</v>
      </c>
      <c r="E471" s="220"/>
      <c r="F471" s="212"/>
      <c r="G471" s="215"/>
      <c r="H471" s="215"/>
      <c r="I471" s="271"/>
      <c r="J471" s="272"/>
      <c r="K471" s="215"/>
      <c r="L471" s="217"/>
      <c r="M471" s="217"/>
    </row>
    <row r="472" spans="1:13" ht="35.1" customHeight="1" x14ac:dyDescent="0.25">
      <c r="A472" s="206"/>
      <c r="B472" s="203"/>
      <c r="C472" s="198"/>
      <c r="D472" s="209">
        <f t="shared" si="7"/>
        <v>0</v>
      </c>
      <c r="E472" s="220"/>
      <c r="F472" s="212"/>
      <c r="G472" s="215"/>
      <c r="H472" s="215"/>
      <c r="I472" s="271"/>
      <c r="J472" s="272"/>
      <c r="K472" s="215"/>
      <c r="L472" s="217"/>
      <c r="M472" s="217"/>
    </row>
    <row r="473" spans="1:13" ht="35.1" customHeight="1" x14ac:dyDescent="0.25">
      <c r="A473" s="206"/>
      <c r="B473" s="203"/>
      <c r="C473" s="198"/>
      <c r="D473" s="209">
        <f t="shared" si="7"/>
        <v>0</v>
      </c>
      <c r="E473" s="220"/>
      <c r="F473" s="212"/>
      <c r="G473" s="215"/>
      <c r="H473" s="215"/>
      <c r="I473" s="271"/>
      <c r="J473" s="272"/>
      <c r="K473" s="215"/>
      <c r="L473" s="217"/>
      <c r="M473" s="217"/>
    </row>
    <row r="474" spans="1:13" ht="35.1" customHeight="1" x14ac:dyDescent="0.25">
      <c r="A474" s="206"/>
      <c r="B474" s="203"/>
      <c r="C474" s="198"/>
      <c r="D474" s="209">
        <f t="shared" si="7"/>
        <v>0</v>
      </c>
      <c r="E474" s="220"/>
      <c r="F474" s="212"/>
      <c r="G474" s="215"/>
      <c r="H474" s="215"/>
      <c r="I474" s="271"/>
      <c r="J474" s="272"/>
      <c r="K474" s="215"/>
      <c r="L474" s="217"/>
      <c r="M474" s="217"/>
    </row>
    <row r="475" spans="1:13" ht="35.1" customHeight="1" x14ac:dyDescent="0.25">
      <c r="A475" s="206"/>
      <c r="B475" s="203"/>
      <c r="C475" s="198"/>
      <c r="D475" s="209">
        <f t="shared" si="7"/>
        <v>0</v>
      </c>
      <c r="E475" s="220"/>
      <c r="F475" s="212"/>
      <c r="G475" s="215"/>
      <c r="H475" s="215"/>
      <c r="I475" s="271"/>
      <c r="J475" s="272"/>
      <c r="K475" s="215"/>
      <c r="L475" s="217"/>
      <c r="M475" s="217"/>
    </row>
    <row r="476" spans="1:13" ht="35.1" customHeight="1" x14ac:dyDescent="0.25">
      <c r="A476" s="206"/>
      <c r="B476" s="203"/>
      <c r="C476" s="198"/>
      <c r="D476" s="209">
        <f t="shared" si="7"/>
        <v>0</v>
      </c>
      <c r="E476" s="220"/>
      <c r="F476" s="212"/>
      <c r="G476" s="215"/>
      <c r="H476" s="215"/>
      <c r="I476" s="271"/>
      <c r="J476" s="272"/>
      <c r="K476" s="215"/>
      <c r="L476" s="217"/>
      <c r="M476" s="217"/>
    </row>
    <row r="477" spans="1:13" ht="35.1" customHeight="1" x14ac:dyDescent="0.25">
      <c r="A477" s="206"/>
      <c r="B477" s="203"/>
      <c r="C477" s="198"/>
      <c r="D477" s="209">
        <f t="shared" si="7"/>
        <v>0</v>
      </c>
      <c r="E477" s="220"/>
      <c r="F477" s="212"/>
      <c r="G477" s="215"/>
      <c r="H477" s="215"/>
      <c r="I477" s="271"/>
      <c r="J477" s="272"/>
      <c r="K477" s="215"/>
      <c r="L477" s="217"/>
      <c r="M477" s="217"/>
    </row>
    <row r="478" spans="1:13" ht="35.1" customHeight="1" x14ac:dyDescent="0.25">
      <c r="A478" s="206"/>
      <c r="B478" s="203"/>
      <c r="C478" s="198"/>
      <c r="D478" s="209">
        <f t="shared" si="7"/>
        <v>0</v>
      </c>
      <c r="E478" s="220"/>
      <c r="F478" s="212"/>
      <c r="G478" s="215"/>
      <c r="H478" s="215"/>
      <c r="I478" s="271"/>
      <c r="J478" s="272"/>
      <c r="K478" s="215"/>
      <c r="L478" s="217"/>
      <c r="M478" s="217"/>
    </row>
    <row r="479" spans="1:13" ht="35.1" customHeight="1" x14ac:dyDescent="0.25">
      <c r="A479" s="206"/>
      <c r="B479" s="203"/>
      <c r="C479" s="198"/>
      <c r="D479" s="209">
        <f t="shared" si="7"/>
        <v>0</v>
      </c>
      <c r="E479" s="220"/>
      <c r="F479" s="212"/>
      <c r="G479" s="215"/>
      <c r="H479" s="215"/>
      <c r="I479" s="271"/>
      <c r="J479" s="272"/>
      <c r="K479" s="215"/>
      <c r="L479" s="217"/>
      <c r="M479" s="217"/>
    </row>
    <row r="480" spans="1:13" ht="35.1" customHeight="1" x14ac:dyDescent="0.25">
      <c r="A480" s="206"/>
      <c r="B480" s="203"/>
      <c r="C480" s="198"/>
      <c r="D480" s="209">
        <f t="shared" si="7"/>
        <v>0</v>
      </c>
      <c r="E480" s="220"/>
      <c r="F480" s="212"/>
      <c r="G480" s="215"/>
      <c r="H480" s="215"/>
      <c r="I480" s="271"/>
      <c r="J480" s="272"/>
      <c r="K480" s="215"/>
      <c r="L480" s="217"/>
      <c r="M480" s="217"/>
    </row>
    <row r="481" spans="1:13" ht="35.1" customHeight="1" x14ac:dyDescent="0.25">
      <c r="A481" s="206"/>
      <c r="B481" s="203"/>
      <c r="C481" s="198"/>
      <c r="D481" s="209">
        <f t="shared" si="7"/>
        <v>0</v>
      </c>
      <c r="E481" s="220"/>
      <c r="F481" s="212"/>
      <c r="G481" s="215"/>
      <c r="H481" s="215"/>
      <c r="I481" s="271"/>
      <c r="J481" s="272"/>
      <c r="K481" s="215"/>
      <c r="L481" s="217"/>
      <c r="M481" s="217"/>
    </row>
    <row r="482" spans="1:13" ht="35.1" customHeight="1" x14ac:dyDescent="0.25">
      <c r="A482" s="206"/>
      <c r="B482" s="203"/>
      <c r="C482" s="198"/>
      <c r="D482" s="209">
        <f t="shared" si="7"/>
        <v>0</v>
      </c>
      <c r="E482" s="220"/>
      <c r="F482" s="212"/>
      <c r="G482" s="215"/>
      <c r="H482" s="215"/>
      <c r="I482" s="271"/>
      <c r="J482" s="272"/>
      <c r="K482" s="215"/>
      <c r="L482" s="217"/>
      <c r="M482" s="217"/>
    </row>
    <row r="483" spans="1:13" ht="35.1" customHeight="1" x14ac:dyDescent="0.25">
      <c r="A483" s="206"/>
      <c r="B483" s="203"/>
      <c r="C483" s="198"/>
      <c r="D483" s="209">
        <f t="shared" si="7"/>
        <v>0</v>
      </c>
      <c r="E483" s="220"/>
      <c r="F483" s="212"/>
      <c r="G483" s="215"/>
      <c r="H483" s="215"/>
      <c r="I483" s="271"/>
      <c r="J483" s="272"/>
      <c r="K483" s="215"/>
      <c r="L483" s="217"/>
      <c r="M483" s="217"/>
    </row>
    <row r="484" spans="1:13" ht="35.1" customHeight="1" x14ac:dyDescent="0.25">
      <c r="A484" s="206"/>
      <c r="B484" s="203"/>
      <c r="C484" s="198"/>
      <c r="D484" s="209">
        <f t="shared" si="7"/>
        <v>0</v>
      </c>
      <c r="E484" s="220"/>
      <c r="F484" s="212"/>
      <c r="G484" s="215"/>
      <c r="H484" s="215"/>
      <c r="I484" s="271"/>
      <c r="J484" s="272"/>
      <c r="K484" s="215"/>
      <c r="L484" s="217"/>
      <c r="M484" s="217"/>
    </row>
    <row r="485" spans="1:13" ht="35.1" customHeight="1" x14ac:dyDescent="0.25">
      <c r="A485" s="206"/>
      <c r="B485" s="203"/>
      <c r="C485" s="198"/>
      <c r="D485" s="209">
        <f t="shared" si="7"/>
        <v>0</v>
      </c>
      <c r="E485" s="220"/>
      <c r="F485" s="212"/>
      <c r="G485" s="215"/>
      <c r="H485" s="215"/>
      <c r="I485" s="271"/>
      <c r="J485" s="272"/>
      <c r="K485" s="215"/>
      <c r="L485" s="217"/>
      <c r="M485" s="217"/>
    </row>
    <row r="486" spans="1:13" ht="35.1" customHeight="1" x14ac:dyDescent="0.25">
      <c r="A486" s="206"/>
      <c r="B486" s="203"/>
      <c r="C486" s="198"/>
      <c r="D486" s="209">
        <f t="shared" si="7"/>
        <v>0</v>
      </c>
      <c r="E486" s="220"/>
      <c r="F486" s="212"/>
      <c r="G486" s="215"/>
      <c r="H486" s="215"/>
      <c r="I486" s="271"/>
      <c r="J486" s="272"/>
      <c r="K486" s="215"/>
      <c r="L486" s="217"/>
      <c r="M486" s="217"/>
    </row>
    <row r="487" spans="1:13" ht="35.1" customHeight="1" x14ac:dyDescent="0.25">
      <c r="A487" s="206"/>
      <c r="B487" s="203"/>
      <c r="C487" s="198"/>
      <c r="D487" s="209">
        <f t="shared" ref="D487:D520" si="8">C487-B487</f>
        <v>0</v>
      </c>
      <c r="E487" s="220"/>
      <c r="F487" s="212"/>
      <c r="G487" s="215"/>
      <c r="H487" s="215"/>
      <c r="I487" s="271"/>
      <c r="J487" s="272"/>
      <c r="K487" s="215"/>
      <c r="L487" s="217"/>
      <c r="M487" s="217"/>
    </row>
    <row r="488" spans="1:13" ht="35.1" customHeight="1" x14ac:dyDescent="0.25">
      <c r="A488" s="206"/>
      <c r="B488" s="203"/>
      <c r="C488" s="198"/>
      <c r="D488" s="209">
        <f t="shared" si="8"/>
        <v>0</v>
      </c>
      <c r="E488" s="220"/>
      <c r="F488" s="212"/>
      <c r="G488" s="215"/>
      <c r="H488" s="215"/>
      <c r="I488" s="271"/>
      <c r="J488" s="272"/>
      <c r="K488" s="215"/>
      <c r="L488" s="217"/>
      <c r="M488" s="217"/>
    </row>
    <row r="489" spans="1:13" ht="35.1" customHeight="1" x14ac:dyDescent="0.25">
      <c r="A489" s="206"/>
      <c r="B489" s="203"/>
      <c r="C489" s="198"/>
      <c r="D489" s="209">
        <f t="shared" si="8"/>
        <v>0</v>
      </c>
      <c r="E489" s="220"/>
      <c r="F489" s="212"/>
      <c r="G489" s="215"/>
      <c r="H489" s="215"/>
      <c r="I489" s="271"/>
      <c r="J489" s="272"/>
      <c r="K489" s="215"/>
      <c r="L489" s="217"/>
      <c r="M489" s="217"/>
    </row>
    <row r="490" spans="1:13" ht="35.1" customHeight="1" x14ac:dyDescent="0.25">
      <c r="A490" s="206"/>
      <c r="B490" s="203"/>
      <c r="C490" s="198"/>
      <c r="D490" s="209">
        <f t="shared" si="8"/>
        <v>0</v>
      </c>
      <c r="E490" s="220"/>
      <c r="F490" s="212"/>
      <c r="G490" s="215"/>
      <c r="H490" s="215"/>
      <c r="I490" s="271"/>
      <c r="J490" s="272"/>
      <c r="K490" s="215"/>
      <c r="L490" s="217"/>
      <c r="M490" s="217"/>
    </row>
    <row r="491" spans="1:13" ht="35.1" customHeight="1" x14ac:dyDescent="0.25">
      <c r="A491" s="206"/>
      <c r="B491" s="203"/>
      <c r="C491" s="198"/>
      <c r="D491" s="209">
        <f t="shared" si="8"/>
        <v>0</v>
      </c>
      <c r="E491" s="220"/>
      <c r="F491" s="212"/>
      <c r="G491" s="215"/>
      <c r="H491" s="215"/>
      <c r="I491" s="271"/>
      <c r="J491" s="272"/>
      <c r="K491" s="215"/>
      <c r="L491" s="217"/>
      <c r="M491" s="217"/>
    </row>
    <row r="492" spans="1:13" ht="35.1" customHeight="1" x14ac:dyDescent="0.25">
      <c r="A492" s="206"/>
      <c r="B492" s="203"/>
      <c r="C492" s="198"/>
      <c r="D492" s="209">
        <f t="shared" si="8"/>
        <v>0</v>
      </c>
      <c r="E492" s="220"/>
      <c r="F492" s="212"/>
      <c r="G492" s="215"/>
      <c r="H492" s="215"/>
      <c r="I492" s="271"/>
      <c r="J492" s="272"/>
      <c r="K492" s="215"/>
      <c r="L492" s="217"/>
      <c r="M492" s="217"/>
    </row>
    <row r="493" spans="1:13" ht="35.1" customHeight="1" x14ac:dyDescent="0.25">
      <c r="A493" s="206"/>
      <c r="B493" s="203"/>
      <c r="C493" s="198"/>
      <c r="D493" s="209">
        <f t="shared" si="8"/>
        <v>0</v>
      </c>
      <c r="E493" s="220"/>
      <c r="F493" s="212"/>
      <c r="G493" s="215"/>
      <c r="H493" s="215"/>
      <c r="I493" s="271"/>
      <c r="J493" s="272"/>
      <c r="K493" s="215"/>
      <c r="L493" s="217"/>
      <c r="M493" s="217"/>
    </row>
    <row r="494" spans="1:13" ht="35.1" customHeight="1" x14ac:dyDescent="0.25">
      <c r="A494" s="206"/>
      <c r="B494" s="203"/>
      <c r="C494" s="198"/>
      <c r="D494" s="209">
        <f t="shared" si="8"/>
        <v>0</v>
      </c>
      <c r="E494" s="220"/>
      <c r="F494" s="212"/>
      <c r="G494" s="215"/>
      <c r="H494" s="215"/>
      <c r="I494" s="271"/>
      <c r="J494" s="272"/>
      <c r="K494" s="215"/>
      <c r="L494" s="217"/>
      <c r="M494" s="217"/>
    </row>
    <row r="495" spans="1:13" ht="35.1" customHeight="1" x14ac:dyDescent="0.25">
      <c r="A495" s="206"/>
      <c r="B495" s="203"/>
      <c r="C495" s="198"/>
      <c r="D495" s="209">
        <f t="shared" si="8"/>
        <v>0</v>
      </c>
      <c r="E495" s="220"/>
      <c r="F495" s="212"/>
      <c r="G495" s="215"/>
      <c r="H495" s="215"/>
      <c r="I495" s="271"/>
      <c r="J495" s="272"/>
      <c r="K495" s="215"/>
      <c r="L495" s="217"/>
      <c r="M495" s="217"/>
    </row>
    <row r="496" spans="1:13" ht="35.1" customHeight="1" x14ac:dyDescent="0.25">
      <c r="A496" s="206"/>
      <c r="B496" s="203"/>
      <c r="C496" s="198"/>
      <c r="D496" s="209">
        <f t="shared" si="8"/>
        <v>0</v>
      </c>
      <c r="E496" s="220"/>
      <c r="F496" s="212"/>
      <c r="G496" s="215"/>
      <c r="H496" s="215"/>
      <c r="I496" s="271"/>
      <c r="J496" s="272"/>
      <c r="K496" s="215"/>
      <c r="L496" s="217"/>
      <c r="M496" s="217"/>
    </row>
    <row r="497" spans="1:13" ht="35.1" customHeight="1" x14ac:dyDescent="0.25">
      <c r="A497" s="206"/>
      <c r="B497" s="203"/>
      <c r="C497" s="198"/>
      <c r="D497" s="209">
        <f t="shared" si="8"/>
        <v>0</v>
      </c>
      <c r="E497" s="220"/>
      <c r="F497" s="212"/>
      <c r="G497" s="215"/>
      <c r="H497" s="215"/>
      <c r="I497" s="271"/>
      <c r="J497" s="272"/>
      <c r="K497" s="215"/>
      <c r="L497" s="217"/>
      <c r="M497" s="217"/>
    </row>
    <row r="498" spans="1:13" ht="35.1" customHeight="1" x14ac:dyDescent="0.25">
      <c r="A498" s="206"/>
      <c r="B498" s="203"/>
      <c r="C498" s="198"/>
      <c r="D498" s="209">
        <f t="shared" si="8"/>
        <v>0</v>
      </c>
      <c r="E498" s="220"/>
      <c r="F498" s="212"/>
      <c r="G498" s="215"/>
      <c r="H498" s="215"/>
      <c r="I498" s="271"/>
      <c r="J498" s="272"/>
      <c r="K498" s="215"/>
      <c r="L498" s="217"/>
      <c r="M498" s="217"/>
    </row>
    <row r="499" spans="1:13" ht="35.1" customHeight="1" x14ac:dyDescent="0.25">
      <c r="A499" s="206"/>
      <c r="B499" s="203"/>
      <c r="C499" s="198"/>
      <c r="D499" s="209">
        <f t="shared" si="8"/>
        <v>0</v>
      </c>
      <c r="E499" s="220"/>
      <c r="F499" s="212"/>
      <c r="G499" s="215"/>
      <c r="H499" s="215"/>
      <c r="I499" s="271"/>
      <c r="J499" s="272"/>
      <c r="K499" s="215"/>
      <c r="L499" s="217"/>
      <c r="M499" s="217"/>
    </row>
    <row r="500" spans="1:13" ht="35.1" customHeight="1" x14ac:dyDescent="0.25">
      <c r="A500" s="206"/>
      <c r="B500" s="203"/>
      <c r="C500" s="198"/>
      <c r="D500" s="209">
        <f t="shared" si="8"/>
        <v>0</v>
      </c>
      <c r="E500" s="220"/>
      <c r="F500" s="212"/>
      <c r="G500" s="215"/>
      <c r="H500" s="215"/>
      <c r="I500" s="271"/>
      <c r="J500" s="272"/>
      <c r="K500" s="215"/>
      <c r="L500" s="217"/>
      <c r="M500" s="217"/>
    </row>
    <row r="501" spans="1:13" ht="35.1" customHeight="1" x14ac:dyDescent="0.25">
      <c r="A501" s="206"/>
      <c r="B501" s="203"/>
      <c r="C501" s="198"/>
      <c r="D501" s="209">
        <f t="shared" si="8"/>
        <v>0</v>
      </c>
      <c r="E501" s="220"/>
      <c r="F501" s="212"/>
      <c r="G501" s="215"/>
      <c r="H501" s="215"/>
      <c r="I501" s="271"/>
      <c r="J501" s="272"/>
      <c r="K501" s="215"/>
      <c r="L501" s="217"/>
      <c r="M501" s="217"/>
    </row>
    <row r="502" spans="1:13" ht="35.1" customHeight="1" x14ac:dyDescent="0.25">
      <c r="A502" s="206"/>
      <c r="B502" s="203"/>
      <c r="C502" s="198"/>
      <c r="D502" s="209">
        <f t="shared" si="8"/>
        <v>0</v>
      </c>
      <c r="E502" s="220"/>
      <c r="F502" s="212"/>
      <c r="G502" s="215"/>
      <c r="H502" s="215"/>
      <c r="I502" s="271"/>
      <c r="J502" s="272"/>
      <c r="K502" s="215"/>
      <c r="L502" s="217"/>
      <c r="M502" s="217"/>
    </row>
    <row r="503" spans="1:13" ht="35.1" customHeight="1" x14ac:dyDescent="0.25">
      <c r="A503" s="206"/>
      <c r="B503" s="203"/>
      <c r="C503" s="198"/>
      <c r="D503" s="209">
        <f t="shared" si="8"/>
        <v>0</v>
      </c>
      <c r="E503" s="220"/>
      <c r="F503" s="212"/>
      <c r="G503" s="215"/>
      <c r="H503" s="215"/>
      <c r="I503" s="271"/>
      <c r="J503" s="272"/>
      <c r="K503" s="215"/>
      <c r="L503" s="217"/>
      <c r="M503" s="217"/>
    </row>
    <row r="504" spans="1:13" ht="35.1" customHeight="1" x14ac:dyDescent="0.25">
      <c r="A504" s="206"/>
      <c r="B504" s="203"/>
      <c r="C504" s="198"/>
      <c r="D504" s="209">
        <f t="shared" si="8"/>
        <v>0</v>
      </c>
      <c r="E504" s="220"/>
      <c r="F504" s="212"/>
      <c r="G504" s="215"/>
      <c r="H504" s="215"/>
      <c r="I504" s="271"/>
      <c r="J504" s="272"/>
      <c r="K504" s="215"/>
      <c r="L504" s="217"/>
      <c r="M504" s="217"/>
    </row>
    <row r="505" spans="1:13" ht="35.1" customHeight="1" x14ac:dyDescent="0.25">
      <c r="A505" s="206"/>
      <c r="B505" s="203"/>
      <c r="C505" s="198"/>
      <c r="D505" s="209">
        <f t="shared" si="8"/>
        <v>0</v>
      </c>
      <c r="E505" s="220"/>
      <c r="F505" s="212"/>
      <c r="G505" s="215"/>
      <c r="H505" s="215"/>
      <c r="I505" s="271"/>
      <c r="J505" s="272"/>
      <c r="K505" s="215"/>
      <c r="L505" s="217"/>
      <c r="M505" s="217"/>
    </row>
    <row r="506" spans="1:13" ht="35.1" customHeight="1" x14ac:dyDescent="0.25">
      <c r="A506" s="206"/>
      <c r="B506" s="203"/>
      <c r="C506" s="198"/>
      <c r="D506" s="209">
        <f t="shared" si="8"/>
        <v>0</v>
      </c>
      <c r="E506" s="220"/>
      <c r="F506" s="212"/>
      <c r="G506" s="215"/>
      <c r="H506" s="215"/>
      <c r="I506" s="271"/>
      <c r="J506" s="272"/>
      <c r="K506" s="215"/>
      <c r="L506" s="217"/>
      <c r="M506" s="217"/>
    </row>
    <row r="507" spans="1:13" ht="35.1" customHeight="1" x14ac:dyDescent="0.25">
      <c r="A507" s="206"/>
      <c r="B507" s="203"/>
      <c r="C507" s="198"/>
      <c r="D507" s="209">
        <f t="shared" si="8"/>
        <v>0</v>
      </c>
      <c r="E507" s="220"/>
      <c r="F507" s="212"/>
      <c r="G507" s="215"/>
      <c r="H507" s="215"/>
      <c r="I507" s="271"/>
      <c r="J507" s="272"/>
      <c r="K507" s="215"/>
      <c r="L507" s="217"/>
      <c r="M507" s="217"/>
    </row>
    <row r="508" spans="1:13" ht="35.1" customHeight="1" x14ac:dyDescent="0.25">
      <c r="A508" s="206"/>
      <c r="B508" s="203"/>
      <c r="C508" s="198"/>
      <c r="D508" s="209">
        <f t="shared" si="8"/>
        <v>0</v>
      </c>
      <c r="E508" s="220"/>
      <c r="F508" s="212"/>
      <c r="G508" s="215"/>
      <c r="H508" s="215"/>
      <c r="I508" s="271"/>
      <c r="J508" s="272"/>
      <c r="K508" s="215"/>
      <c r="L508" s="217"/>
      <c r="M508" s="217"/>
    </row>
    <row r="509" spans="1:13" ht="35.1" customHeight="1" x14ac:dyDescent="0.25">
      <c r="A509" s="206"/>
      <c r="B509" s="203"/>
      <c r="C509" s="198"/>
      <c r="D509" s="209">
        <f t="shared" si="8"/>
        <v>0</v>
      </c>
      <c r="E509" s="220"/>
      <c r="F509" s="212"/>
      <c r="G509" s="215"/>
      <c r="H509" s="215"/>
      <c r="I509" s="271"/>
      <c r="J509" s="272"/>
      <c r="K509" s="215"/>
      <c r="L509" s="217"/>
      <c r="M509" s="217"/>
    </row>
    <row r="510" spans="1:13" ht="35.1" customHeight="1" x14ac:dyDescent="0.25">
      <c r="A510" s="206"/>
      <c r="B510" s="203"/>
      <c r="C510" s="198"/>
      <c r="D510" s="209">
        <f t="shared" si="8"/>
        <v>0</v>
      </c>
      <c r="E510" s="220"/>
      <c r="F510" s="212"/>
      <c r="G510" s="215"/>
      <c r="H510" s="215"/>
      <c r="I510" s="271"/>
      <c r="J510" s="272"/>
      <c r="K510" s="215"/>
      <c r="L510" s="217"/>
      <c r="M510" s="217"/>
    </row>
    <row r="511" spans="1:13" ht="35.1" customHeight="1" x14ac:dyDescent="0.25">
      <c r="A511" s="206"/>
      <c r="B511" s="203"/>
      <c r="C511" s="198"/>
      <c r="D511" s="209">
        <f t="shared" si="8"/>
        <v>0</v>
      </c>
      <c r="E511" s="220"/>
      <c r="F511" s="212"/>
      <c r="G511" s="215"/>
      <c r="H511" s="215"/>
      <c r="I511" s="271"/>
      <c r="J511" s="272"/>
      <c r="K511" s="215"/>
      <c r="L511" s="217"/>
      <c r="M511" s="217"/>
    </row>
    <row r="512" spans="1:13" ht="35.1" customHeight="1" x14ac:dyDescent="0.25">
      <c r="A512" s="206"/>
      <c r="B512" s="203"/>
      <c r="C512" s="198"/>
      <c r="D512" s="209">
        <f t="shared" si="8"/>
        <v>0</v>
      </c>
      <c r="E512" s="220"/>
      <c r="F512" s="212"/>
      <c r="G512" s="215"/>
      <c r="H512" s="215"/>
      <c r="I512" s="271"/>
      <c r="J512" s="272"/>
      <c r="K512" s="215"/>
      <c r="L512" s="217"/>
      <c r="M512" s="217"/>
    </row>
    <row r="513" spans="1:13" ht="35.1" customHeight="1" x14ac:dyDescent="0.25">
      <c r="A513" s="206"/>
      <c r="B513" s="203"/>
      <c r="C513" s="198"/>
      <c r="D513" s="209">
        <f t="shared" si="8"/>
        <v>0</v>
      </c>
      <c r="E513" s="220"/>
      <c r="F513" s="212"/>
      <c r="G513" s="215"/>
      <c r="H513" s="215"/>
      <c r="I513" s="271"/>
      <c r="J513" s="272"/>
      <c r="K513" s="215"/>
      <c r="L513" s="217"/>
      <c r="M513" s="217"/>
    </row>
    <row r="514" spans="1:13" ht="35.1" customHeight="1" x14ac:dyDescent="0.25">
      <c r="A514" s="206"/>
      <c r="B514" s="203"/>
      <c r="C514" s="198"/>
      <c r="D514" s="209">
        <f t="shared" si="8"/>
        <v>0</v>
      </c>
      <c r="E514" s="220"/>
      <c r="F514" s="212"/>
      <c r="G514" s="215"/>
      <c r="H514" s="215"/>
      <c r="I514" s="271"/>
      <c r="J514" s="272"/>
      <c r="K514" s="215"/>
      <c r="L514" s="217"/>
      <c r="M514" s="217"/>
    </row>
    <row r="515" spans="1:13" ht="35.1" customHeight="1" x14ac:dyDescent="0.25">
      <c r="A515" s="206"/>
      <c r="B515" s="203"/>
      <c r="C515" s="198"/>
      <c r="D515" s="209">
        <f t="shared" si="8"/>
        <v>0</v>
      </c>
      <c r="E515" s="220"/>
      <c r="F515" s="212"/>
      <c r="G515" s="215"/>
      <c r="H515" s="215"/>
      <c r="I515" s="271"/>
      <c r="J515" s="272"/>
      <c r="K515" s="215"/>
      <c r="L515" s="217"/>
      <c r="M515" s="217"/>
    </row>
    <row r="516" spans="1:13" ht="35.1" customHeight="1" x14ac:dyDescent="0.25">
      <c r="A516" s="206"/>
      <c r="B516" s="203"/>
      <c r="C516" s="198"/>
      <c r="D516" s="209">
        <f t="shared" si="8"/>
        <v>0</v>
      </c>
      <c r="E516" s="220"/>
      <c r="F516" s="212"/>
      <c r="G516" s="215"/>
      <c r="H516" s="215"/>
      <c r="I516" s="271"/>
      <c r="J516" s="272"/>
      <c r="K516" s="215"/>
      <c r="L516" s="217"/>
      <c r="M516" s="217"/>
    </row>
    <row r="517" spans="1:13" ht="35.1" customHeight="1" x14ac:dyDescent="0.25">
      <c r="A517" s="206"/>
      <c r="B517" s="203"/>
      <c r="C517" s="198"/>
      <c r="D517" s="209">
        <f t="shared" si="8"/>
        <v>0</v>
      </c>
      <c r="E517" s="220"/>
      <c r="F517" s="212"/>
      <c r="G517" s="215"/>
      <c r="H517" s="215"/>
      <c r="I517" s="271"/>
      <c r="J517" s="272"/>
      <c r="K517" s="215"/>
      <c r="L517" s="217"/>
      <c r="M517" s="217"/>
    </row>
    <row r="518" spans="1:13" ht="35.1" customHeight="1" x14ac:dyDescent="0.25">
      <c r="A518" s="206"/>
      <c r="B518" s="203"/>
      <c r="C518" s="198"/>
      <c r="D518" s="209">
        <f t="shared" si="8"/>
        <v>0</v>
      </c>
      <c r="E518" s="220"/>
      <c r="F518" s="212"/>
      <c r="G518" s="215"/>
      <c r="H518" s="215"/>
      <c r="I518" s="271"/>
      <c r="J518" s="272"/>
      <c r="K518" s="215"/>
      <c r="L518" s="217"/>
      <c r="M518" s="217"/>
    </row>
    <row r="519" spans="1:13" ht="35.1" customHeight="1" x14ac:dyDescent="0.25">
      <c r="A519" s="205"/>
      <c r="B519" s="202"/>
      <c r="C519" s="201"/>
      <c r="D519" s="208">
        <f t="shared" si="8"/>
        <v>0</v>
      </c>
      <c r="E519" s="219"/>
      <c r="F519" s="211"/>
      <c r="G519" s="214"/>
      <c r="H519" s="214"/>
      <c r="I519" s="273"/>
      <c r="J519" s="274"/>
      <c r="K519" s="214"/>
      <c r="L519" s="216"/>
      <c r="M519" s="216"/>
    </row>
    <row r="520" spans="1:13" ht="35.1" customHeight="1" x14ac:dyDescent="0.25">
      <c r="A520" s="206"/>
      <c r="B520" s="203"/>
      <c r="C520" s="198"/>
      <c r="D520" s="209">
        <f t="shared" si="8"/>
        <v>0</v>
      </c>
      <c r="E520" s="220"/>
      <c r="F520" s="212"/>
      <c r="G520" s="215"/>
      <c r="H520" s="215"/>
      <c r="I520" s="271"/>
      <c r="J520" s="272"/>
      <c r="K520" s="215"/>
      <c r="L520" s="217"/>
      <c r="M520" s="217"/>
    </row>
  </sheetData>
  <mergeCells count="4">
    <mergeCell ref="B4:C4"/>
    <mergeCell ref="A1:M1"/>
    <mergeCell ref="I4:J4"/>
    <mergeCell ref="A3:M3"/>
  </mergeCells>
  <pageMargins left="0.59055118110236227" right="0.19685039370078741" top="0.39370078740157483" bottom="0.19685039370078741" header="0" footer="0"/>
  <pageSetup paperSize="9"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view="pageBreakPreview" topLeftCell="A31" zoomScaleNormal="100" zoomScaleSheetLayoutView="100" workbookViewId="0">
      <selection activeCell="H40" sqref="H40"/>
    </sheetView>
  </sheetViews>
  <sheetFormatPr defaultRowHeight="30" customHeight="1" x14ac:dyDescent="0.25"/>
  <cols>
    <col min="1" max="1" width="31.5703125" style="234" customWidth="1"/>
    <col min="2" max="2" width="42.5703125" style="226" customWidth="1"/>
    <col min="3" max="3" width="7.28515625" style="228" customWidth="1"/>
    <col min="4" max="4" width="10" style="192" customWidth="1"/>
    <col min="5" max="16384" width="9.140625" style="228"/>
  </cols>
  <sheetData>
    <row r="1" spans="1:4" ht="30" customHeight="1" x14ac:dyDescent="0.25">
      <c r="A1" s="479" t="s">
        <v>139</v>
      </c>
      <c r="B1" s="683"/>
      <c r="C1" s="683"/>
      <c r="D1" s="228"/>
    </row>
    <row r="2" spans="1:4" ht="7.5" customHeight="1" thickBot="1" x14ac:dyDescent="0.3">
      <c r="A2" s="233"/>
      <c r="B2" s="4"/>
      <c r="C2" s="227"/>
      <c r="D2" s="228"/>
    </row>
    <row r="3" spans="1:4" ht="30" customHeight="1" x14ac:dyDescent="0.25">
      <c r="A3" s="684" t="s">
        <v>75</v>
      </c>
      <c r="B3" s="398"/>
      <c r="C3" s="227"/>
      <c r="D3" s="135"/>
    </row>
    <row r="4" spans="1:4" ht="30" customHeight="1" x14ac:dyDescent="0.25">
      <c r="A4" s="692"/>
      <c r="B4" s="399"/>
      <c r="C4" s="227"/>
      <c r="D4" s="135"/>
    </row>
    <row r="5" spans="1:4" ht="30" customHeight="1" thickBot="1" x14ac:dyDescent="0.3">
      <c r="A5" s="685"/>
      <c r="B5" s="357"/>
      <c r="C5" s="227"/>
      <c r="D5" s="135"/>
    </row>
    <row r="6" spans="1:4" ht="30" customHeight="1" x14ac:dyDescent="0.25">
      <c r="A6" s="684" t="s">
        <v>122</v>
      </c>
      <c r="B6" s="398">
        <v>9</v>
      </c>
      <c r="C6" s="227"/>
      <c r="D6" s="135"/>
    </row>
    <row r="7" spans="1:4" ht="30" customHeight="1" thickBot="1" x14ac:dyDescent="0.3">
      <c r="A7" s="685"/>
      <c r="B7" s="357">
        <v>16</v>
      </c>
      <c r="C7" s="227"/>
      <c r="D7" s="135"/>
    </row>
    <row r="8" spans="1:4" ht="15" customHeight="1" thickBot="1" x14ac:dyDescent="0.3">
      <c r="A8" s="233"/>
      <c r="B8" s="400"/>
      <c r="C8" s="227"/>
      <c r="D8" s="135"/>
    </row>
    <row r="9" spans="1:4" ht="30" customHeight="1" x14ac:dyDescent="0.25">
      <c r="A9" s="689" t="s">
        <v>107</v>
      </c>
      <c r="B9" s="401"/>
      <c r="C9" s="227"/>
      <c r="D9" s="135"/>
    </row>
    <row r="10" spans="1:4" ht="30" customHeight="1" x14ac:dyDescent="0.25">
      <c r="A10" s="690"/>
      <c r="B10" s="402"/>
      <c r="C10" s="227"/>
      <c r="D10" s="135"/>
    </row>
    <row r="11" spans="1:4" ht="30" customHeight="1" thickBot="1" x14ac:dyDescent="0.3">
      <c r="A11" s="691"/>
      <c r="B11" s="403"/>
      <c r="C11" s="227"/>
      <c r="D11" s="135"/>
    </row>
    <row r="12" spans="1:4" ht="30" customHeight="1" x14ac:dyDescent="0.25">
      <c r="A12" s="678" t="s">
        <v>84</v>
      </c>
      <c r="B12" s="432" t="s">
        <v>145</v>
      </c>
      <c r="C12" s="227"/>
      <c r="D12" s="135"/>
    </row>
    <row r="13" spans="1:4" ht="30" customHeight="1" x14ac:dyDescent="0.25">
      <c r="A13" s="688"/>
      <c r="B13" s="402" t="s">
        <v>162</v>
      </c>
      <c r="C13" s="227"/>
      <c r="D13" s="135"/>
    </row>
    <row r="14" spans="1:4" ht="30" customHeight="1" thickBot="1" x14ac:dyDescent="0.3">
      <c r="A14" s="679"/>
      <c r="B14" s="403"/>
      <c r="C14" s="227"/>
      <c r="D14" s="135"/>
    </row>
    <row r="15" spans="1:4" ht="30" customHeight="1" x14ac:dyDescent="0.25">
      <c r="A15" s="678" t="s">
        <v>76</v>
      </c>
      <c r="B15" s="401" t="s">
        <v>163</v>
      </c>
      <c r="C15" s="227"/>
      <c r="D15" s="135"/>
    </row>
    <row r="16" spans="1:4" ht="30" customHeight="1" thickBot="1" x14ac:dyDescent="0.3">
      <c r="A16" s="680"/>
      <c r="B16" s="404" t="s">
        <v>163</v>
      </c>
      <c r="C16" s="227"/>
      <c r="D16" s="135"/>
    </row>
    <row r="17" spans="1:4" ht="30" customHeight="1" x14ac:dyDescent="0.25">
      <c r="A17" s="678" t="s">
        <v>123</v>
      </c>
      <c r="B17" s="401"/>
      <c r="C17" s="227"/>
      <c r="D17" s="135"/>
    </row>
    <row r="18" spans="1:4" ht="30" customHeight="1" thickBot="1" x14ac:dyDescent="0.3">
      <c r="A18" s="680"/>
      <c r="B18" s="460"/>
      <c r="C18" s="227"/>
      <c r="D18" s="228"/>
    </row>
    <row r="19" spans="1:4" ht="15" customHeight="1" thickBot="1" x14ac:dyDescent="0.3">
      <c r="A19" s="233"/>
      <c r="B19" s="400"/>
      <c r="C19" s="227"/>
      <c r="D19" s="135"/>
    </row>
    <row r="20" spans="1:4" ht="30" customHeight="1" x14ac:dyDescent="0.25">
      <c r="A20" s="681" t="s">
        <v>77</v>
      </c>
      <c r="B20" s="422"/>
      <c r="C20" s="227"/>
      <c r="D20" s="135"/>
    </row>
    <row r="21" spans="1:4" ht="30" customHeight="1" thickBot="1" x14ac:dyDescent="0.3">
      <c r="A21" s="682"/>
      <c r="B21" s="459"/>
      <c r="C21" s="227"/>
      <c r="D21" s="229"/>
    </row>
    <row r="22" spans="1:4" ht="30" customHeight="1" x14ac:dyDescent="0.25">
      <c r="A22" s="681" t="s">
        <v>78</v>
      </c>
      <c r="B22" s="401"/>
      <c r="C22" s="227"/>
      <c r="D22" s="135"/>
    </row>
    <row r="23" spans="1:4" ht="30" customHeight="1" thickBot="1" x14ac:dyDescent="0.3">
      <c r="A23" s="682"/>
      <c r="B23" s="404"/>
      <c r="C23" s="227"/>
      <c r="D23" s="135"/>
    </row>
    <row r="24" spans="1:4" ht="30" customHeight="1" x14ac:dyDescent="0.25">
      <c r="A24" s="681" t="s">
        <v>118</v>
      </c>
      <c r="B24" s="458"/>
      <c r="C24" s="227"/>
      <c r="D24" s="135"/>
    </row>
    <row r="25" spans="1:4" ht="30" customHeight="1" thickBot="1" x14ac:dyDescent="0.3">
      <c r="A25" s="682"/>
      <c r="B25" s="460"/>
      <c r="C25" s="227"/>
      <c r="D25" s="135"/>
    </row>
    <row r="26" spans="1:4" ht="30" customHeight="1" x14ac:dyDescent="0.25">
      <c r="A26" s="681" t="s">
        <v>79</v>
      </c>
      <c r="B26" s="425"/>
      <c r="C26" s="227"/>
      <c r="D26" s="135"/>
    </row>
    <row r="27" spans="1:4" ht="30" customHeight="1" thickBot="1" x14ac:dyDescent="0.3">
      <c r="A27" s="682"/>
      <c r="B27" s="461"/>
      <c r="C27" s="227"/>
      <c r="D27" s="135"/>
    </row>
    <row r="28" spans="1:4" ht="30" customHeight="1" x14ac:dyDescent="0.25">
      <c r="A28" s="681" t="s">
        <v>80</v>
      </c>
      <c r="B28" s="405"/>
      <c r="C28" s="227"/>
      <c r="D28" s="135"/>
    </row>
    <row r="29" spans="1:4" ht="30" customHeight="1" thickBot="1" x14ac:dyDescent="0.3">
      <c r="A29" s="682"/>
      <c r="B29" s="406"/>
      <c r="C29" s="227"/>
      <c r="D29" s="135"/>
    </row>
    <row r="30" spans="1:4" ht="30" customHeight="1" x14ac:dyDescent="0.25">
      <c r="A30" s="686" t="s">
        <v>91</v>
      </c>
      <c r="B30" s="432" t="s">
        <v>157</v>
      </c>
      <c r="C30" s="227"/>
      <c r="D30" s="135"/>
    </row>
    <row r="31" spans="1:4" ht="30" customHeight="1" thickBot="1" x14ac:dyDescent="0.3">
      <c r="A31" s="687"/>
      <c r="B31" s="404" t="s">
        <v>158</v>
      </c>
      <c r="C31" s="227"/>
      <c r="D31" s="135"/>
    </row>
    <row r="32" spans="1:4" ht="30" customHeight="1" x14ac:dyDescent="0.25">
      <c r="A32" s="678" t="s">
        <v>81</v>
      </c>
      <c r="B32" s="432" t="s">
        <v>153</v>
      </c>
      <c r="C32" s="227"/>
      <c r="D32" s="135"/>
    </row>
    <row r="33" spans="1:4" ht="30" customHeight="1" thickBot="1" x14ac:dyDescent="0.3">
      <c r="A33" s="679"/>
      <c r="B33" s="404"/>
      <c r="C33" s="227"/>
      <c r="D33" s="135"/>
    </row>
    <row r="34" spans="1:4" ht="30" customHeight="1" x14ac:dyDescent="0.25">
      <c r="A34" s="678" t="s">
        <v>82</v>
      </c>
      <c r="B34" s="398"/>
      <c r="C34" s="227"/>
      <c r="D34" s="135"/>
    </row>
    <row r="35" spans="1:4" ht="30" customHeight="1" thickBot="1" x14ac:dyDescent="0.3">
      <c r="A35" s="679"/>
      <c r="B35" s="404"/>
      <c r="C35" s="227"/>
      <c r="D35" s="135"/>
    </row>
    <row r="36" spans="1:4" ht="30" customHeight="1" x14ac:dyDescent="0.25">
      <c r="A36" s="678" t="s">
        <v>83</v>
      </c>
      <c r="B36" s="398"/>
      <c r="C36" s="227"/>
      <c r="D36" s="135"/>
    </row>
    <row r="37" spans="1:4" ht="30" customHeight="1" thickBot="1" x14ac:dyDescent="0.3">
      <c r="A37" s="680"/>
      <c r="B37" s="403"/>
      <c r="C37" s="227"/>
      <c r="D37" s="135"/>
    </row>
  </sheetData>
  <mergeCells count="16">
    <mergeCell ref="A1:C1"/>
    <mergeCell ref="A6:A7"/>
    <mergeCell ref="A28:A29"/>
    <mergeCell ref="A32:A33"/>
    <mergeCell ref="A30:A31"/>
    <mergeCell ref="A17:A18"/>
    <mergeCell ref="A12:A14"/>
    <mergeCell ref="A9:A11"/>
    <mergeCell ref="A3:A5"/>
    <mergeCell ref="A15:A16"/>
    <mergeCell ref="A34:A35"/>
    <mergeCell ref="A36:A37"/>
    <mergeCell ref="A20:A21"/>
    <mergeCell ref="A22:A23"/>
    <mergeCell ref="A26:A27"/>
    <mergeCell ref="A24:A25"/>
  </mergeCells>
  <printOptions horizontalCentered="1"/>
  <pageMargins left="0.98425196850393704" right="0.19685039370078741" top="0.39370078740157483" bottom="0.19685039370078741" header="0" footer="0"/>
  <pageSetup paperSize="9" scale="7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view="pageBreakPreview" topLeftCell="A25" zoomScale="110" zoomScaleNormal="80" zoomScaleSheetLayoutView="110" workbookViewId="0">
      <selection activeCell="G28" sqref="G28"/>
    </sheetView>
  </sheetViews>
  <sheetFormatPr defaultRowHeight="18" x14ac:dyDescent="0.25"/>
  <cols>
    <col min="1" max="1" width="31.5703125" style="234" customWidth="1"/>
    <col min="2" max="2" width="36.5703125" style="262" customWidth="1"/>
    <col min="3" max="3" width="5.85546875" style="228" customWidth="1"/>
    <col min="4" max="16384" width="9.140625" style="228"/>
  </cols>
  <sheetData>
    <row r="1" spans="1:11" ht="30" customHeight="1" x14ac:dyDescent="0.25">
      <c r="A1" s="479" t="s">
        <v>139</v>
      </c>
      <c r="B1" s="683"/>
      <c r="C1" s="683"/>
    </row>
    <row r="2" spans="1:11" ht="7.5" customHeight="1" thickBot="1" x14ac:dyDescent="0.3">
      <c r="A2" s="233"/>
      <c r="B2" s="4"/>
      <c r="C2" s="227"/>
    </row>
    <row r="3" spans="1:11" ht="30" customHeight="1" x14ac:dyDescent="0.25">
      <c r="A3" s="693" t="s">
        <v>110</v>
      </c>
      <c r="B3" s="422"/>
      <c r="C3" s="227"/>
    </row>
    <row r="4" spans="1:11" ht="30" customHeight="1" x14ac:dyDescent="0.25">
      <c r="A4" s="688"/>
      <c r="B4" s="423"/>
      <c r="C4" s="227"/>
    </row>
    <row r="5" spans="1:11" ht="30" customHeight="1" x14ac:dyDescent="0.25">
      <c r="A5" s="695"/>
      <c r="B5" s="423"/>
      <c r="C5" s="227"/>
    </row>
    <row r="6" spans="1:11" ht="30" customHeight="1" thickBot="1" x14ac:dyDescent="0.3">
      <c r="A6" s="694"/>
      <c r="B6" s="424"/>
      <c r="C6" s="227"/>
    </row>
    <row r="7" spans="1:11" ht="15" customHeight="1" thickBot="1" x14ac:dyDescent="0.3">
      <c r="A7" s="233"/>
      <c r="B7" s="400"/>
      <c r="C7" s="227"/>
    </row>
    <row r="8" spans="1:11" ht="30" customHeight="1" x14ac:dyDescent="0.25">
      <c r="A8" s="678" t="s">
        <v>111</v>
      </c>
      <c r="B8" s="425"/>
      <c r="C8" s="227"/>
    </row>
    <row r="9" spans="1:11" ht="30" customHeight="1" x14ac:dyDescent="0.25">
      <c r="A9" s="696"/>
      <c r="B9" s="426"/>
      <c r="C9" s="227"/>
    </row>
    <row r="10" spans="1:11" ht="30" customHeight="1" x14ac:dyDescent="0.25">
      <c r="A10" s="697"/>
      <c r="B10" s="427"/>
      <c r="C10" s="227"/>
    </row>
    <row r="11" spans="1:11" ht="30" customHeight="1" thickBot="1" x14ac:dyDescent="0.3">
      <c r="A11" s="698"/>
      <c r="B11" s="428"/>
      <c r="C11" s="227"/>
    </row>
    <row r="12" spans="1:11" ht="15" customHeight="1" thickBot="1" x14ac:dyDescent="0.3">
      <c r="A12" s="233"/>
      <c r="B12" s="400"/>
      <c r="C12" s="227"/>
    </row>
    <row r="13" spans="1:11" ht="30" customHeight="1" x14ac:dyDescent="0.25">
      <c r="A13" s="689" t="s">
        <v>112</v>
      </c>
      <c r="B13" s="429" t="s">
        <v>143</v>
      </c>
      <c r="C13" s="227"/>
      <c r="K13" s="228" t="s">
        <v>56</v>
      </c>
    </row>
    <row r="14" spans="1:11" ht="30" customHeight="1" x14ac:dyDescent="0.25">
      <c r="A14" s="690"/>
      <c r="B14" s="408" t="s">
        <v>148</v>
      </c>
      <c r="C14" s="227"/>
    </row>
    <row r="15" spans="1:11" ht="30" customHeight="1" x14ac:dyDescent="0.25">
      <c r="A15" s="699"/>
      <c r="B15" s="408" t="s">
        <v>149</v>
      </c>
      <c r="C15" s="227"/>
    </row>
    <row r="16" spans="1:11" ht="30" customHeight="1" x14ac:dyDescent="0.25">
      <c r="A16" s="699"/>
      <c r="B16" s="409" t="s">
        <v>150</v>
      </c>
      <c r="C16" s="227"/>
    </row>
    <row r="17" spans="1:3" ht="30" customHeight="1" thickBot="1" x14ac:dyDescent="0.3">
      <c r="A17" s="691"/>
      <c r="B17" s="431"/>
      <c r="C17" s="227"/>
    </row>
    <row r="18" spans="1:3" ht="15" customHeight="1" thickBot="1" x14ac:dyDescent="0.3">
      <c r="A18" s="233"/>
      <c r="B18" s="400"/>
      <c r="C18" s="227"/>
    </row>
    <row r="19" spans="1:3" ht="30" customHeight="1" x14ac:dyDescent="0.25">
      <c r="A19" s="689" t="s">
        <v>113</v>
      </c>
      <c r="B19" s="429" t="s">
        <v>144</v>
      </c>
      <c r="C19" s="227"/>
    </row>
    <row r="20" spans="1:3" ht="30" customHeight="1" x14ac:dyDescent="0.25">
      <c r="A20" s="690"/>
      <c r="B20" s="430" t="s">
        <v>146</v>
      </c>
      <c r="C20" s="227"/>
    </row>
    <row r="21" spans="1:3" ht="30" customHeight="1" x14ac:dyDescent="0.25">
      <c r="A21" s="690"/>
      <c r="B21" s="410"/>
      <c r="C21" s="227"/>
    </row>
    <row r="22" spans="1:3" ht="29.25" customHeight="1" x14ac:dyDescent="0.25">
      <c r="A22" s="699"/>
      <c r="B22" s="410"/>
      <c r="C22" s="227"/>
    </row>
    <row r="23" spans="1:3" ht="30" customHeight="1" thickBot="1" x14ac:dyDescent="0.3">
      <c r="A23" s="691"/>
      <c r="B23" s="411"/>
      <c r="C23" s="227"/>
    </row>
    <row r="24" spans="1:3" ht="15" customHeight="1" thickBot="1" x14ac:dyDescent="0.3">
      <c r="A24" s="233"/>
      <c r="B24" s="400"/>
      <c r="C24" s="227"/>
    </row>
    <row r="25" spans="1:3" ht="30" customHeight="1" x14ac:dyDescent="0.25">
      <c r="A25" s="693" t="s">
        <v>114</v>
      </c>
      <c r="B25" s="407" t="s">
        <v>160</v>
      </c>
      <c r="C25" s="227"/>
    </row>
    <row r="26" spans="1:3" ht="30" customHeight="1" x14ac:dyDescent="0.25">
      <c r="A26" s="688"/>
      <c r="B26" s="410" t="s">
        <v>147</v>
      </c>
      <c r="C26" s="227"/>
    </row>
    <row r="27" spans="1:3" ht="30" customHeight="1" x14ac:dyDescent="0.25">
      <c r="A27" s="695"/>
      <c r="B27" s="365">
        <v>18</v>
      </c>
      <c r="C27" s="227"/>
    </row>
    <row r="28" spans="1:3" ht="30" customHeight="1" thickBot="1" x14ac:dyDescent="0.3">
      <c r="A28" s="694"/>
      <c r="B28" s="404"/>
      <c r="C28" s="227"/>
    </row>
    <row r="29" spans="1:3" ht="15" customHeight="1" thickBot="1" x14ac:dyDescent="0.3">
      <c r="B29" s="400"/>
      <c r="C29" s="227"/>
    </row>
    <row r="30" spans="1:3" ht="30" customHeight="1" x14ac:dyDescent="0.25">
      <c r="A30" s="693" t="s">
        <v>117</v>
      </c>
      <c r="B30" s="398"/>
      <c r="C30" s="227"/>
    </row>
    <row r="31" spans="1:3" ht="30" customHeight="1" x14ac:dyDescent="0.25">
      <c r="A31" s="688"/>
      <c r="B31" s="365"/>
      <c r="C31" s="227"/>
    </row>
    <row r="32" spans="1:3" ht="30" customHeight="1" thickBot="1" x14ac:dyDescent="0.3">
      <c r="A32" s="694"/>
      <c r="B32" s="404"/>
      <c r="C32" s="227"/>
    </row>
    <row r="33" spans="1:3" ht="15" customHeight="1" thickBot="1" x14ac:dyDescent="0.3">
      <c r="B33" s="400"/>
      <c r="C33" s="227"/>
    </row>
    <row r="34" spans="1:3" ht="30" customHeight="1" x14ac:dyDescent="0.25">
      <c r="A34" s="693" t="s">
        <v>121</v>
      </c>
      <c r="B34" s="398"/>
      <c r="C34" s="227"/>
    </row>
    <row r="35" spans="1:3" ht="30" customHeight="1" x14ac:dyDescent="0.25">
      <c r="A35" s="688"/>
      <c r="B35" s="365"/>
      <c r="C35" s="227"/>
    </row>
    <row r="36" spans="1:3" ht="30" customHeight="1" thickBot="1" x14ac:dyDescent="0.3">
      <c r="A36" s="694"/>
      <c r="B36" s="404"/>
      <c r="C36" s="227"/>
    </row>
    <row r="37" spans="1:3" x14ac:dyDescent="0.25">
      <c r="A37" s="233"/>
      <c r="B37" s="4"/>
      <c r="C37" s="227"/>
    </row>
  </sheetData>
  <mergeCells count="8">
    <mergeCell ref="A34:A36"/>
    <mergeCell ref="A1:C1"/>
    <mergeCell ref="A30:A32"/>
    <mergeCell ref="A3:A6"/>
    <mergeCell ref="A8:A11"/>
    <mergeCell ref="A13:A17"/>
    <mergeCell ref="A19:A23"/>
    <mergeCell ref="A25:A28"/>
  </mergeCells>
  <printOptions horizontalCentered="1"/>
  <pageMargins left="0.98425196850393704" right="0.51181102362204722" top="0.78740157480314965" bottom="0.78740157480314965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DISTRIBUIÇÃO</vt:lpstr>
      <vt:lpstr>DELEGADA</vt:lpstr>
      <vt:lpstr>DEJEM</vt:lpstr>
      <vt:lpstr>CUSTODIA</vt:lpstr>
      <vt:lpstr>OFICIAIS</vt:lpstr>
      <vt:lpstr>SGTOS</vt:lpstr>
      <vt:lpstr>DEJEM!Area_de_impressao</vt:lpstr>
      <vt:lpstr>DELEGADA!Area_de_impressao</vt:lpstr>
      <vt:lpstr>OFICIAIS!Area_de_impressao</vt:lpstr>
      <vt:lpstr>SGTOS!Area_de_impressao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 MILITAR</dc:creator>
  <cp:lastModifiedBy>PMESP</cp:lastModifiedBy>
  <cp:lastPrinted>2026-02-13T14:00:19Z</cp:lastPrinted>
  <dcterms:created xsi:type="dcterms:W3CDTF">2022-07-27T12:13:16Z</dcterms:created>
  <dcterms:modified xsi:type="dcterms:W3CDTF">2026-04-09T15:39:14Z</dcterms:modified>
</cp:coreProperties>
</file>